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8.xml" ContentType="application/vnd.openxmlformats-officedocument.drawing+xml"/>
  <Override PartName="/xl/drawings/_rels/drawing3.xml.rels" ContentType="application/vnd.openxmlformats-package.relationships+xml"/>
  <Override PartName="/xl/drawings/_rels/drawing8.xml.rels" ContentType="application/vnd.openxmlformats-package.relationships+xml"/>
  <Override PartName="/xl/drawings/_rels/drawing2.xml.rels" ContentType="application/vnd.openxmlformats-package.relationships+xml"/>
  <Override PartName="/xl/drawings/_rels/drawing13.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4.xml.rels" ContentType="application/vnd.openxmlformats-package.relationships+xml"/>
  <Override PartName="/xl/drawings/_rels/drawing5.xml.rels" ContentType="application/vnd.openxmlformats-package.relationships+xml"/>
  <Override PartName="/xl/drawings/_rels/drawing10.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6.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ta completa" sheetId="1" state="visible" r:id="rId3"/>
    <sheet name="Resumen" sheetId="2" state="visible" r:id="rId4"/>
    <sheet name="Para portear" sheetId="3" state="visible" r:id="rId5"/>
    <sheet name="NES" sheetId="4" state="visible" r:id="rId6"/>
    <sheet name="SNES" sheetId="5" state="visible" r:id="rId7"/>
    <sheet name="Game Boy y GBC" sheetId="6" state="visible" r:id="rId8"/>
    <sheet name="GBA" sheetId="7" state="visible" r:id="rId9"/>
    <sheet name="Mega Drive" sheetId="8" state="visible" r:id="rId10"/>
    <sheet name="PC Engine" sheetId="9" state="visible" r:id="rId11"/>
    <sheet name="Neo Geo y Arcade" sheetId="10" state="visible" r:id="rId12"/>
    <sheet name="PS1" sheetId="11" state="visible" r:id="rId13"/>
    <sheet name="N64" sheetId="12" state="visible" r:id="rId14"/>
    <sheet name="DS" sheetId="13" state="visible" r:id="rId15"/>
    <sheet name="PSP" sheetId="14" state="visible" r:id="rId16"/>
    <sheet name="Android (APK)" sheetId="15" state="visible" r:id="rId17"/>
    <sheet name="Leyenda" sheetId="16" state="visible" r:id="rId18"/>
  </sheets>
  <definedNames>
    <definedName function="false" hidden="false" localSheetId="14" name="_xlnm.Print_Titles" vbProcedure="false">'Android (APK)'!$3:$3</definedName>
    <definedName function="false" hidden="true" localSheetId="14" name="_xlnm._FilterDatabase" vbProcedure="false">'Android (APK)'!$A$3:$K$52</definedName>
    <definedName function="false" hidden="false" localSheetId="12" name="_xlnm.Print_Titles" vbProcedure="false">DS!$3:$3</definedName>
    <definedName function="false" hidden="true" localSheetId="12" name="_xlnm._FilterDatabase" vbProcedure="false">DS!$A$3:$I$23</definedName>
    <definedName function="false" hidden="false" localSheetId="5" name="_xlnm.Print_Titles" vbProcedure="false">'Game Boy y GBC'!$3:$3</definedName>
    <definedName function="false" hidden="true" localSheetId="5" name="_xlnm._FilterDatabase" vbProcedure="false">'Game Boy y GBC'!$A$3:$I$20</definedName>
    <definedName function="false" hidden="false" localSheetId="6" name="_xlnm.Print_Titles" vbProcedure="false">GBA!$3:$3</definedName>
    <definedName function="false" hidden="true" localSheetId="6" name="_xlnm._FilterDatabase" vbProcedure="false">GBA!$A$3:$I$23</definedName>
    <definedName function="false" hidden="false" localSheetId="15" name="_xlnm.Print_Titles" vbProcedure="false">Leyenda!$3:$3</definedName>
    <definedName function="false" hidden="true" localSheetId="15" name="_xlnm._FilterDatabase" vbProcedure="false">Leyenda!$A$3:$B$69</definedName>
    <definedName function="false" hidden="false" localSheetId="0" name="_xlnm.Print_Titles" vbProcedure="false">'Lista completa'!$3:$3</definedName>
    <definedName function="false" hidden="true" localSheetId="0" name="_xlnm._FilterDatabase" vbProcedure="false">'Lista completa'!$A$3:$K$195</definedName>
    <definedName function="false" hidden="false" localSheetId="7" name="_xlnm.Print_Titles" vbProcedure="false">'Mega Drive'!$3:$3</definedName>
    <definedName function="false" hidden="true" localSheetId="7" name="_xlnm._FilterDatabase" vbProcedure="false">'Mega Drive'!$A$3:$I$22</definedName>
    <definedName function="false" hidden="false" localSheetId="11" name="_xlnm.Print_Titles" vbProcedure="false">N64!$3:$3</definedName>
    <definedName function="false" hidden="true" localSheetId="11" name="_xlnm._FilterDatabase" vbProcedure="false">N64!$A$3:$I$21</definedName>
    <definedName function="false" hidden="false" localSheetId="9" name="_xlnm.Print_Titles" vbProcedure="false">'Neo Geo y Arcade'!$3:$3</definedName>
    <definedName function="false" hidden="true" localSheetId="9" name="_xlnm._FilterDatabase" vbProcedure="false">'Neo Geo y Arcade'!$A$3:$I$23</definedName>
    <definedName function="false" hidden="false" localSheetId="3" name="_xlnm.Print_Titles" vbProcedure="false">NES!$3:$3</definedName>
    <definedName function="false" hidden="true" localSheetId="3" name="_xlnm._FilterDatabase" vbProcedure="false">NES!$A$3:$I$20</definedName>
    <definedName function="false" hidden="false" localSheetId="2" name="_xlnm.Print_Titles" vbProcedure="false">'Para portear'!$3:$3</definedName>
    <definedName function="false" hidden="true" localSheetId="2" name="_xlnm._FilterDatabase" vbProcedure="false">'Para portear'!$A$3:$E$12</definedName>
    <definedName function="false" hidden="false" localSheetId="8" name="_xlnm.Print_Titles" vbProcedure="false">'PC Engine'!$3:$3</definedName>
    <definedName function="false" hidden="true" localSheetId="8" name="_xlnm._FilterDatabase" vbProcedure="false">'PC Engine'!$A$3:$I$19</definedName>
    <definedName function="false" hidden="false" localSheetId="10" name="_xlnm.Print_Titles" vbProcedure="false">PS1!$3:$3</definedName>
    <definedName function="false" hidden="true" localSheetId="10" name="_xlnm._FilterDatabase" vbProcedure="false">PS1!$A$3:$I$25</definedName>
    <definedName function="false" hidden="false" localSheetId="13" name="_xlnm.Print_Titles" vbProcedure="false">PSP!$3:$3</definedName>
    <definedName function="false" hidden="true" localSheetId="13" name="_xlnm._FilterDatabase" vbProcedure="false">PSP!$A$3:$I$23</definedName>
    <definedName function="false" hidden="false" localSheetId="1" name="_xlnm.Print_Titles" vbProcedure="false">Resumen!$3:$3</definedName>
    <definedName function="false" hidden="false" localSheetId="4" name="_xlnm.Print_Titles" vbProcedure="false">SNES!$3:$3</definedName>
    <definedName function="false" hidden="true" localSheetId="4" name="_xlnm._FilterDatabase" vbProcedure="false">SNES!$A$3:$I$23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<sst xmlns="http://schemas.openxmlformats.org/spreadsheetml/2006/main" count="3033" uniqueCount="811">
  <si>
    <t xml:space="preserve">Juego</t>
  </si>
  <si>
    <t xml:space="preserve">Puntaje</t>
  </si>
  <si>
    <t xml:space="preserve">Nivel</t>
  </si>
  <si>
    <t xml:space="preserve">Sección</t>
  </si>
  <si>
    <t xml:space="preserve">Estado en la R36S</t>
  </si>
  <si>
    <t xml:space="preserve">Cómo se juega</t>
  </si>
  <si>
    <t xml:space="preserve">Qué necesitás</t>
  </si>
  <si>
    <t xml:space="preserve">Controles</t>
  </si>
  <si>
    <t xml:space="preserve">Notas</t>
  </si>
  <si>
    <t xml:space="preserve">Fuente del puntaje</t>
  </si>
  <si>
    <t xml:space="preserve">Base del dato</t>
  </si>
  <si>
    <t xml:space="preserve">Half-Life (+ Blue Shift y Opposing Force)</t>
  </si>
  <si>
    <t xml:space="preserve">Tus juegos</t>
  </si>
  <si>
    <t xml:space="preserve">Funciona</t>
  </si>
  <si>
    <t xml:space="preserve">PortMaster (Xash3D)</t>
  </si>
  <si>
    <t xml:space="preserve">Carpeta valve de Steam</t>
  </si>
  <si>
    <t xml:space="preserve">Control</t>
  </si>
  <si>
    <t xml:space="preserve">Catálogo PortMaster</t>
  </si>
  <si>
    <t xml:space="preserve">Baldur's Gate II + Throne of Bhaal</t>
  </si>
  <si>
    <t xml:space="preserve">PortMaster (GemRB)</t>
  </si>
  <si>
    <t xml:space="preserve">Tus archivos (versión original)</t>
  </si>
  <si>
    <t xml:space="preserve">Stick como mouse</t>
  </si>
  <si>
    <t xml:space="preserve">640×480, igual que la pantalla. Enhanced Edition: experimental</t>
  </si>
  <si>
    <t xml:space="preserve">Quake</t>
  </si>
  <si>
    <t xml:space="preserve">PortMaster</t>
  </si>
  <si>
    <t xml:space="preserve">Gratis (demo) o tus .pak</t>
  </si>
  <si>
    <t xml:space="preserve">Monkey Island 2: LeChuck's Revenge</t>
  </si>
  <si>
    <t xml:space="preserve">ScummVM (ArkOS)</t>
  </si>
  <si>
    <t xml:space="preserve">Tus archivos originales</t>
  </si>
  <si>
    <t xml:space="preserve">Aventura de apuntar y clic</t>
  </si>
  <si>
    <t xml:space="preserve">Estimación</t>
  </si>
  <si>
    <t xml:space="preserve">Final Fantasy VII</t>
  </si>
  <si>
    <t xml:space="preserve">Nuestro port (menú Ports, PCSX-ReARMed)</t>
  </si>
  <si>
    <t xml:space="preserve">Tus 3 discos (.bin completos)</t>
  </si>
  <si>
    <t xml:space="preserve">Ya funciona en tu R36S</t>
  </si>
  <si>
    <t xml:space="preserve">Probado en tu consola</t>
  </si>
  <si>
    <t xml:space="preserve">Baldur's Gate + Tales of the Sword Coast</t>
  </si>
  <si>
    <t xml:space="preserve">Balatro</t>
  </si>
  <si>
    <t xml:space="preserve">Balatro.exe (Steam) o Balatro.love (Mac)</t>
  </si>
  <si>
    <t xml:space="preserve">The Curse of Monkey Island (3)</t>
  </si>
  <si>
    <t xml:space="preserve">Es de 640×480</t>
  </si>
  <si>
    <t xml:space="preserve">Quake II</t>
  </si>
  <si>
    <t xml:space="preserve">Tus .pak (+ expansiones)</t>
  </si>
  <si>
    <t xml:space="preserve">Celeste</t>
  </si>
  <si>
    <t xml:space="preserve">Versión sin DRM (itch.io o Epic)</t>
  </si>
  <si>
    <t xml:space="preserve">Celeste Classic y Celeste 64: gratis</t>
  </si>
  <si>
    <t xml:space="preserve">Heroes of Might and Magic III</t>
  </si>
  <si>
    <t xml:space="preserve">PortMaster (VCMI)</t>
  </si>
  <si>
    <t xml:space="preserve">Tus archivos</t>
  </si>
  <si>
    <t xml:space="preserve">Por turnos: cómodo con stick</t>
  </si>
  <si>
    <t xml:space="preserve">Deltarune</t>
  </si>
  <si>
    <t xml:space="preserve">Tus archivos (capítulos 1 a 4)</t>
  </si>
  <si>
    <t xml:space="preserve">FAITH: The Unholy Trinity</t>
  </si>
  <si>
    <t xml:space="preserve">Tus archivos (Steam o GOG)</t>
  </si>
  <si>
    <t xml:space="preserve">Heroes of Might and Magic II</t>
  </si>
  <si>
    <t xml:space="preserve">PortMaster (fheroes2)</t>
  </si>
  <si>
    <t xml:space="preserve">Monkey Island 1 (The Secret of Monkey Island)</t>
  </si>
  <si>
    <t xml:space="preserve">Sin puntaje de crítica</t>
  </si>
  <si>
    <t xml:space="preserve">Aliens versus Predator (1999)</t>
  </si>
  <si>
    <t xml:space="preserve">Tus archivos de PC (1999)</t>
  </si>
  <si>
    <t xml:space="preserve">Brogue</t>
  </si>
  <si>
    <t xml:space="preserve">Gratis</t>
  </si>
  <si>
    <t xml:space="preserve">The Elder Scrolls: Arena</t>
  </si>
  <si>
    <t xml:space="preserve">Emulador de DOS (ArkOS)</t>
  </si>
  <si>
    <t xml:space="preserve">Gratis (lo regaló Bethesda)</t>
  </si>
  <si>
    <t xml:space="preserve">Teclas mapeadas al control</t>
  </si>
  <si>
    <t xml:space="preserve">El motor libre OpenTESArena todavía está incompleto</t>
  </si>
  <si>
    <t xml:space="preserve">Might and Magic I a V</t>
  </si>
  <si>
    <t xml:space="preserve">Tus archivos (GOG)</t>
  </si>
  <si>
    <t xml:space="preserve">RPG de DOS</t>
  </si>
  <si>
    <t xml:space="preserve">Might and Magic VII</t>
  </si>
  <si>
    <t xml:space="preserve">PortMaster (OpenEnroth)</t>
  </si>
  <si>
    <t xml:space="preserve">Dos sticks</t>
  </si>
  <si>
    <t xml:space="preserve">Civilization (1991)</t>
  </si>
  <si>
    <t xml:space="preserve">Por turnos</t>
  </si>
  <si>
    <t xml:space="preserve">FreeCiv (estilo Civilization II)</t>
  </si>
  <si>
    <t xml:space="preserve">Unciv (remake de Civilization V)</t>
  </si>
  <si>
    <t xml:space="preserve">FreeCol (estilo Colonization)</t>
  </si>
  <si>
    <t xml:space="preserve">ClassiCube (Minecraft Classic)</t>
  </si>
  <si>
    <t xml:space="preserve">La alternativa liviana a Minecraft</t>
  </si>
  <si>
    <t xml:space="preserve">Quake III Arena</t>
  </si>
  <si>
    <t xml:space="preserve">Con reservas</t>
  </si>
  <si>
    <t xml:space="preserve">Tus .pak y tu clave de CD</t>
  </si>
  <si>
    <t xml:space="preserve">El más exigente de los tres Quake</t>
  </si>
  <si>
    <t xml:space="preserve">Minecraft: Java Edition</t>
  </si>
  <si>
    <t xml:space="preserve">Tu copia del juego</t>
  </si>
  <si>
    <t xml:space="preserve">Con 1 GB de RAM, muy difícil</t>
  </si>
  <si>
    <t xml:space="preserve">Stardew Valley</t>
  </si>
  <si>
    <t xml:space="preserve">Puede ir pesado con 1 GB de RAM</t>
  </si>
  <si>
    <t xml:space="preserve">Morrowind</t>
  </si>
  <si>
    <t xml:space="preserve">PortMaster (OpenMW)</t>
  </si>
  <si>
    <t xml:space="preserve">Tus archivos (PC o GOG)</t>
  </si>
  <si>
    <t xml:space="preserve">Esperá pocos cuadros por segundo</t>
  </si>
  <si>
    <t xml:space="preserve">Escape from Monkey Island (4)</t>
  </si>
  <si>
    <t xml:space="preserve">ScummVM (soporte experimental)</t>
  </si>
  <si>
    <t xml:space="preserve">Es 3D: dudoso en esta consola</t>
  </si>
  <si>
    <t xml:space="preserve">The Elder Scrolls II: Daggerfall</t>
  </si>
  <si>
    <t xml:space="preserve">Pedía una Pentium: probablemente lento. Daggerfall Unity no entra</t>
  </si>
  <si>
    <t xml:space="preserve">Luanti / Mineclonia</t>
  </si>
  <si>
    <t xml:space="preserve">Pide activar zram en consolas de 1 GB</t>
  </si>
  <si>
    <t xml:space="preserve">Widelands (estilo The Settlers)</t>
  </si>
  <si>
    <t xml:space="preserve">Estrategia en tiempo real pero pausada: lo más parecido a Age of Empires</t>
  </si>
  <si>
    <t xml:space="preserve">Star Wars: KOTOR</t>
  </si>
  <si>
    <t xml:space="preserve">Proyecto</t>
  </si>
  <si>
    <t xml:space="preserve">Cargador de la versión de Android (ya existe en PS Vita: VitaKotor)</t>
  </si>
  <si>
    <t xml:space="preserve">APK de Android</t>
  </si>
  <si>
    <t xml:space="preserve">En Vita: en desarrollo (v0.2, septiembre 2026). Hay que adaptarlo a Linux</t>
  </si>
  <si>
    <t xml:space="preserve">Port en PS Vita</t>
  </si>
  <si>
    <t xml:space="preserve">Vampire Survivors</t>
  </si>
  <si>
    <t xml:space="preserve">Reimplementación con motor propio</t>
  </si>
  <si>
    <t xml:space="preserve">Proyecto grande. Mientras tanto, streaming. Parecidos: Boneraiser Minions, Maze Mice</t>
  </si>
  <si>
    <t xml:space="preserve">Star Wars: KOTOR II</t>
  </si>
  <si>
    <t xml:space="preserve">Cargador de la versión de Android (ya existe en PS Vita: VitaKotor2)</t>
  </si>
  <si>
    <t xml:space="preserve">En Vita: v0.5.6, ~25 FPS. Hay que adaptarlo a Linux</t>
  </si>
  <si>
    <t xml:space="preserve">Civilization II a VI</t>
  </si>
  <si>
    <t xml:space="preserve">No (streaming)</t>
  </si>
  <si>
    <t xml:space="preserve">Moonlight desde tu PC</t>
  </si>
  <si>
    <t xml:space="preserve">—</t>
  </si>
  <si>
    <t xml:space="preserve">Sin port. Alternativas: FreeCiv, Unciv</t>
  </si>
  <si>
    <t xml:space="preserve">Devil May Cry</t>
  </si>
  <si>
    <t xml:space="preserve">Es de PS2: no se puede emular en este procesador</t>
  </si>
  <si>
    <t xml:space="preserve">Dwarf Fortress</t>
  </si>
  <si>
    <t xml:space="preserve">Solo PC x86, código cerrado. Parecido: Cataclysm: DDA</t>
  </si>
  <si>
    <t xml:space="preserve">Divinity: Original Sin 2</t>
  </si>
  <si>
    <t xml:space="preserve">3D pesado</t>
  </si>
  <si>
    <t xml:space="preserve">Hollow Knight</t>
  </si>
  <si>
    <t xml:space="preserve">Unity. Parecidos: Dead Cells, Axiom Verge, Mina the Hollower</t>
  </si>
  <si>
    <t xml:space="preserve">Divinity: Original Sin</t>
  </si>
  <si>
    <t xml:space="preserve">Return to Monkey Island</t>
  </si>
  <si>
    <t xml:space="preserve">Motor moderno sin port</t>
  </si>
  <si>
    <t xml:space="preserve">Age of Empires I y II</t>
  </si>
  <si>
    <t xml:space="preserve">Sin port; tiempo real con stick es incómodo. Alternativa: Widelands</t>
  </si>
  <si>
    <t xml:space="preserve">Blasphemous 2</t>
  </si>
  <si>
    <t xml:space="preserve">Unity. Parecidos: Undivine, FAITH</t>
  </si>
  <si>
    <t xml:space="preserve">Unravel</t>
  </si>
  <si>
    <t xml:space="preserve">3D moderno</t>
  </si>
  <si>
    <t xml:space="preserve">Divine Divinity</t>
  </si>
  <si>
    <t xml:space="preserve">Solo Windows, sin motor libre</t>
  </si>
  <si>
    <t xml:space="preserve">Heroes of Might and Magic IV y V</t>
  </si>
  <si>
    <t xml:space="preserve">Sin motor libre</t>
  </si>
  <si>
    <t xml:space="preserve">Tales of Monkey Island</t>
  </si>
  <si>
    <t xml:space="preserve">Blasphemous</t>
  </si>
  <si>
    <t xml:space="preserve">Divinity II</t>
  </si>
  <si>
    <t xml:space="preserve">Unravel Two</t>
  </si>
  <si>
    <t xml:space="preserve">Beyond Divinity</t>
  </si>
  <si>
    <t xml:space="preserve">Might and Magic VI y VIII</t>
  </si>
  <si>
    <t xml:space="preserve">OpenEnroth hoy solo corre el VII; VI y VIII están planeados</t>
  </si>
  <si>
    <t xml:space="preserve">README del proyecto</t>
  </si>
  <si>
    <t xml:space="preserve">Perfect Dark</t>
  </si>
  <si>
    <t xml:space="preserve">Recomendados (PortMaster)</t>
  </si>
  <si>
    <t xml:space="preserve">Tu ROM</t>
  </si>
  <si>
    <t xml:space="preserve">Diablo (DevilutionX)</t>
  </si>
  <si>
    <t xml:space="preserve">Listo para usar (demo); completo con tus archivos</t>
  </si>
  <si>
    <t xml:space="preserve">Undertale</t>
  </si>
  <si>
    <t xml:space="preserve">Unreal Tournament '99</t>
  </si>
  <si>
    <t xml:space="preserve">Tomb Raider I</t>
  </si>
  <si>
    <t xml:space="preserve">FEZ</t>
  </si>
  <si>
    <t xml:space="preserve">Star Wars Jedi Knight: Dark Forces II</t>
  </si>
  <si>
    <t xml:space="preserve">Braid</t>
  </si>
  <si>
    <t xml:space="preserve">World of Goo</t>
  </si>
  <si>
    <t xml:space="preserve">Spelunky (clásico)</t>
  </si>
  <si>
    <t xml:space="preserve">Mina the Hollower</t>
  </si>
  <si>
    <t xml:space="preserve">Archivos de Mac (GOG o Steam)</t>
  </si>
  <si>
    <t xml:space="preserve">Warcraft II (Wargus)</t>
  </si>
  <si>
    <t xml:space="preserve">Tiempo real</t>
  </si>
  <si>
    <t xml:space="preserve">Duke Nukem 3D</t>
  </si>
  <si>
    <t xml:space="preserve">Fallout</t>
  </si>
  <si>
    <t xml:space="preserve">Slay the Spire</t>
  </si>
  <si>
    <t xml:space="preserve">Nuclear Throne</t>
  </si>
  <si>
    <t xml:space="preserve">Dead Cells</t>
  </si>
  <si>
    <t xml:space="preserve">Puede ir justo</t>
  </si>
  <si>
    <t xml:space="preserve">Star Fox 64 (Project Starship)</t>
  </si>
  <si>
    <t xml:space="preserve">Super Hexagon</t>
  </si>
  <si>
    <t xml:space="preserve">Owlboy</t>
  </si>
  <si>
    <t xml:space="preserve">Command &amp; Conquer y Red Alert</t>
  </si>
  <si>
    <t xml:space="preserve">PortMaster (VanillaTD / VanillaRA)</t>
  </si>
  <si>
    <t xml:space="preserve">Star Wars: Dark Forces</t>
  </si>
  <si>
    <t xml:space="preserve">Return to Castle Wolfenstein</t>
  </si>
  <si>
    <t xml:space="preserve">Tus archivos (.pk3)</t>
  </si>
  <si>
    <t xml:space="preserve">Doom</t>
  </si>
  <si>
    <t xml:space="preserve">Gratis o tus archivos</t>
  </si>
  <si>
    <t xml:space="preserve">Icewind Dale / Planescape: Torment</t>
  </si>
  <si>
    <t xml:space="preserve">Mismo port que Baldur's Gate</t>
  </si>
  <si>
    <t xml:space="preserve">Super Meat Boy</t>
  </si>
  <si>
    <t xml:space="preserve">Crypt of the NecroDancer</t>
  </si>
  <si>
    <t xml:space="preserve">TowerFall Ascension</t>
  </si>
  <si>
    <t xml:space="preserve">Iconoclasts</t>
  </si>
  <si>
    <t xml:space="preserve">Descent y Descent II</t>
  </si>
  <si>
    <t xml:space="preserve">Flashback (REminiscence)</t>
  </si>
  <si>
    <t xml:space="preserve">Sonic Mania</t>
  </si>
  <si>
    <t xml:space="preserve">Fallout 2</t>
  </si>
  <si>
    <t xml:space="preserve">The Binding of Isaac: Rebirth</t>
  </si>
  <si>
    <t xml:space="preserve">OpenXcom (X-COM: UFO Defense)</t>
  </si>
  <si>
    <t xml:space="preserve">Papers, Please</t>
  </si>
  <si>
    <t xml:space="preserve">Shovel Knight: Treasure Trove</t>
  </si>
  <si>
    <t xml:space="preserve">Rogue Legacy</t>
  </si>
  <si>
    <t xml:space="preserve">Dune II (Dune Legacy)</t>
  </si>
  <si>
    <t xml:space="preserve">Ultima VII (Exult)</t>
  </si>
  <si>
    <t xml:space="preserve">Theme Hospital (CorsixTH)</t>
  </si>
  <si>
    <t xml:space="preserve">OpenTTD (Transport Tycoon)</t>
  </si>
  <si>
    <t xml:space="preserve">Cave Story</t>
  </si>
  <si>
    <t xml:space="preserve">Caesar III (Augustus)</t>
  </si>
  <si>
    <t xml:space="preserve">Prince of Persia (SDLPoP)</t>
  </si>
  <si>
    <t xml:space="preserve">To the Moon</t>
  </si>
  <si>
    <t xml:space="preserve">VVVVVV</t>
  </si>
  <si>
    <t xml:space="preserve">Nidhogg</t>
  </si>
  <si>
    <t xml:space="preserve">Dicey Dungeons</t>
  </si>
  <si>
    <t xml:space="preserve">Axiom Verge</t>
  </si>
  <si>
    <t xml:space="preserve">La-Mulana</t>
  </si>
  <si>
    <t xml:space="preserve">Gato Roboto</t>
  </si>
  <si>
    <t xml:space="preserve">Minit</t>
  </si>
  <si>
    <t xml:space="preserve">LISA</t>
  </si>
  <si>
    <t xml:space="preserve">Risk of Rain (2013)</t>
  </si>
  <si>
    <t xml:space="preserve">Arx Fatalis</t>
  </si>
  <si>
    <t xml:space="preserve">RollerCoaster Tycoon 2 (OpenRCT2)</t>
  </si>
  <si>
    <t xml:space="preserve">Luck be a Landlord</t>
  </si>
  <si>
    <t xml:space="preserve">Hammerwatch</t>
  </si>
  <si>
    <t xml:space="preserve">Dungeon Souls</t>
  </si>
  <si>
    <t xml:space="preserve">Tus archivos (Steam o Humble)</t>
  </si>
  <si>
    <t xml:space="preserve">Sonic 1, 2, CD y 3 A.I.R.</t>
  </si>
  <si>
    <t xml:space="preserve">Undivine</t>
  </si>
  <si>
    <t xml:space="preserve">Tus archivos (o la demo gratis)</t>
  </si>
  <si>
    <t xml:space="preserve">Metroidvania oscuro, estilo Blasphemous</t>
  </si>
  <si>
    <t xml:space="preserve">Boneraiser Minions</t>
  </si>
  <si>
    <t xml:space="preserve">Estilo Vampire Survivors</t>
  </si>
  <si>
    <t xml:space="preserve">Maze Mice</t>
  </si>
  <si>
    <t xml:space="preserve">Her Name Was Fire</t>
  </si>
  <si>
    <t xml:space="preserve">Roguelike contra hordas</t>
  </si>
  <si>
    <t xml:space="preserve">Gravwell</t>
  </si>
  <si>
    <t xml:space="preserve">Disparos contra hordas</t>
  </si>
  <si>
    <t xml:space="preserve">Another World</t>
  </si>
  <si>
    <t xml:space="preserve">Dungeon Crawl Stone Soup</t>
  </si>
  <si>
    <t xml:space="preserve">Cataclysm: Dark Days Ahead</t>
  </si>
  <si>
    <t xml:space="preserve">Lo más parecido a Dwarf Fortress</t>
  </si>
  <si>
    <t xml:space="preserve">Doom RPG</t>
  </si>
  <si>
    <t xml:space="preserve">Archivo del juego de celular original</t>
  </si>
  <si>
    <t xml:space="preserve">Pizza Tower</t>
  </si>
  <si>
    <t xml:space="preserve">El catálogo lo marca como no apto para consolas de baja potencia</t>
  </si>
  <si>
    <t xml:space="preserve">Final Fantasy IX</t>
  </si>
  <si>
    <t xml:space="preserve">Emuladores de ArkOS</t>
  </si>
  <si>
    <t xml:space="preserve">Emulador de PS1 (ArkOS)</t>
  </si>
  <si>
    <t xml:space="preserve">Tus discos (varios: se juntan con pbpack)</t>
  </si>
  <si>
    <t xml:space="preserve">4 discos</t>
  </si>
  <si>
    <t xml:space="preserve">Metal Gear Solid</t>
  </si>
  <si>
    <t xml:space="preserve">2 discos</t>
  </si>
  <si>
    <t xml:space="preserve">Chrono Cross</t>
  </si>
  <si>
    <t xml:space="preserve">Castlevania: Symphony of the Night</t>
  </si>
  <si>
    <t xml:space="preserve">Tu disco</t>
  </si>
  <si>
    <t xml:space="preserve">Day of the Tentacle</t>
  </si>
  <si>
    <t xml:space="preserve">Vagrant Story</t>
  </si>
  <si>
    <t xml:space="preserve">Chrono Trigger DS</t>
  </si>
  <si>
    <t xml:space="preserve">DraStic (ArkOS)</t>
  </si>
  <si>
    <t xml:space="preserve">Tu juego</t>
  </si>
  <si>
    <t xml:space="preserve">Resident Evil 1, 2 y 3</t>
  </si>
  <si>
    <t xml:space="preserve">Tus discos</t>
  </si>
  <si>
    <t xml:space="preserve">RE2: 2 discos</t>
  </si>
  <si>
    <t xml:space="preserve">Final Fantasy VIII</t>
  </si>
  <si>
    <t xml:space="preserve">Castlevania: Dawn of Sorrow</t>
  </si>
  <si>
    <t xml:space="preserve">Silent Hill</t>
  </si>
  <si>
    <t xml:space="preserve">Full Throttle</t>
  </si>
  <si>
    <t xml:space="preserve">Final Fantasy Tactics</t>
  </si>
  <si>
    <t xml:space="preserve">Suikoden II</t>
  </si>
  <si>
    <t xml:space="preserve">Crash Bandicoot y Spyro</t>
  </si>
  <si>
    <t xml:space="preserve">Pokémon (Nintendo DS)</t>
  </si>
  <si>
    <t xml:space="preserve">Yume Nikki</t>
  </si>
  <si>
    <t xml:space="preserve">EasyRPG (ArkOS)</t>
  </si>
  <si>
    <t xml:space="preserve">RPG Maker 2003</t>
  </si>
  <si>
    <t xml:space="preserve">OFF</t>
  </si>
  <si>
    <t xml:space="preserve">Ib</t>
  </si>
  <si>
    <t xml:space="preserve">Gratis (versión clásica)</t>
  </si>
  <si>
    <t xml:space="preserve">RPG Maker 2000</t>
  </si>
  <si>
    <t xml:space="preserve">Broken Sword</t>
  </si>
  <si>
    <t xml:space="preserve">Beneath a Steel Sky</t>
  </si>
  <si>
    <t xml:space="preserve">Juegos de N64 (Super Mario 64, Mario Kart 64, Zelda)</t>
  </si>
  <si>
    <t xml:space="preserve">Emulador de N64 (ArkOS)</t>
  </si>
  <si>
    <t xml:space="preserve">N64 depende del juego; los más pesados pueden ir lentos</t>
  </si>
  <si>
    <t xml:space="preserve">Resident Evil 4 (GameCube)</t>
  </si>
  <si>
    <t xml:space="preserve">Ola de ports de PS Vita 2024-26</t>
  </si>
  <si>
    <t xml:space="preserve">Port en desarrollo para Vita</t>
  </si>
  <si>
    <t xml:space="preserve">Por ahora solo un adelanto, sin fecha</t>
  </si>
  <si>
    <t xml:space="preserve">Real Racing 2</t>
  </si>
  <si>
    <t xml:space="preserve">Cargador de la versión de Android</t>
  </si>
  <si>
    <t xml:space="preserve">APK de Android (versión HD)</t>
  </si>
  <si>
    <t xml:space="preserve">Beta pública en Vita (septiembre-octubre 2026)</t>
  </si>
  <si>
    <t xml:space="preserve">Need for Speed: Hot Pursuit</t>
  </si>
  <si>
    <t xml:space="preserve">APK (ya no se vende en Google Play)</t>
  </si>
  <si>
    <t xml:space="preserve">Cuphead</t>
  </si>
  <si>
    <t xml:space="preserve">Reimplementación parcial (Cuphead Vita 0.35, 2024)</t>
  </si>
  <si>
    <t xml:space="preserve">Tus archivos del juego</t>
  </si>
  <si>
    <t xml:space="preserve">Usa los archivos del juego original; versión parcial</t>
  </si>
  <si>
    <t xml:space="preserve">Ultimate Spider-Man: Total Mayhem</t>
  </si>
  <si>
    <t xml:space="preserve">En Vita desde febrero 2025</t>
  </si>
  <si>
    <t xml:space="preserve">Baldur's Gate: Dark Alliance</t>
  </si>
  <si>
    <t xml:space="preserve">APK de Android (2023)</t>
  </si>
  <si>
    <t xml:space="preserve">En Vita desde enero 2026 (v1.06)</t>
  </si>
  <si>
    <t xml:space="preserve">Resident Evil 4 Mobile</t>
  </si>
  <si>
    <t xml:space="preserve">Versión reducida para celulares; en Vita (2026)</t>
  </si>
  <si>
    <t xml:space="preserve">Max Payne (versión Android)</t>
  </si>
  <si>
    <t xml:space="preserve">Android</t>
  </si>
  <si>
    <t xml:space="preserve">PortMaster (carga la versión de Android)</t>
  </si>
  <si>
    <t xml:space="preserve">APK 1.7 + OBB</t>
  </si>
  <si>
    <t xml:space="preserve">Prueba de que la técnica anda en estas consolas</t>
  </si>
  <si>
    <t xml:space="preserve">Limbo (versión Android)</t>
  </si>
  <si>
    <t xml:space="preserve">Versión Android de Epic Games</t>
  </si>
  <si>
    <t xml:space="preserve">La de Google Play no sirve</t>
  </si>
  <si>
    <t xml:space="preserve">Retro Bowl</t>
  </si>
  <si>
    <t xml:space="preserve">Tu compra en Google Play</t>
  </si>
  <si>
    <t xml:space="preserve">Loop Hero (versión Android)</t>
  </si>
  <si>
    <t xml:space="preserve">Professor Layton: La villa misteriosa HD</t>
  </si>
  <si>
    <t xml:space="preserve">Gunslugs</t>
  </si>
  <si>
    <t xml:space="preserve">APK o versión de PC (GOG)</t>
  </si>
  <si>
    <t xml:space="preserve">Dudelings: Arcade Sportsball</t>
  </si>
  <si>
    <t xml:space="preserve">APK (itch.io)</t>
  </si>
  <si>
    <t xml:space="preserve">GTA III</t>
  </si>
  <si>
    <t xml:space="preserve">Adaptar el port de PS Vita</t>
  </si>
  <si>
    <t xml:space="preserve">Si entra en la Vita, el hardware de la R36S alcanza</t>
  </si>
  <si>
    <t xml:space="preserve">GTA: Vice City</t>
  </si>
  <si>
    <t xml:space="preserve">GTA: San Andreas</t>
  </si>
  <si>
    <t xml:space="preserve">APK de Android (v2.00)</t>
  </si>
  <si>
    <t xml:space="preserve">Minecraft: Bedrock</t>
  </si>
  <si>
    <t xml:space="preserve">mcpelauncher (ya existe para Linux ARM64)</t>
  </si>
  <si>
    <t xml:space="preserve">APK de Google Play</t>
  </si>
  <si>
    <t xml:space="preserve">Con 1 GB de RAM, dudoso</t>
  </si>
  <si>
    <t xml:space="preserve">Bully: Anniversary Edition</t>
  </si>
  <si>
    <t xml:space="preserve">Figura en la lista de ports de Vita; no verifiqué el detalle</t>
  </si>
  <si>
    <t xml:space="preserve">Dead Space (versión de celular)</t>
  </si>
  <si>
    <t xml:space="preserve">Muy bien recibido en su momento</t>
  </si>
  <si>
    <t xml:space="preserve">Baba Is You</t>
  </si>
  <si>
    <t xml:space="preserve">A verificar</t>
  </si>
  <si>
    <t xml:space="preserve">Swordigo</t>
  </si>
  <si>
    <t xml:space="preserve">Fahrenheit (Indigo Prophecy)</t>
  </si>
  <si>
    <t xml:space="preserve">Leo's Fortune</t>
  </si>
  <si>
    <t xml:space="preserve">APK de Android (v1.0.5)</t>
  </si>
  <si>
    <t xml:space="preserve">En Vita desde mayo 2026</t>
  </si>
  <si>
    <t xml:space="preserve">Thimbleweed Park</t>
  </si>
  <si>
    <t xml:space="preserve">Aventura de Ron Gilbert (creador de Monkey Island)</t>
  </si>
  <si>
    <t xml:space="preserve">Mass Effect: Infiltrator</t>
  </si>
  <si>
    <t xml:space="preserve">APK de Android (v1.0.58)</t>
  </si>
  <si>
    <t xml:space="preserve">Crazy Taxi</t>
  </si>
  <si>
    <t xml:space="preserve">Death Road to Canada</t>
  </si>
  <si>
    <t xml:space="preserve">UFO 50</t>
  </si>
  <si>
    <t xml:space="preserve">Otros candidatos</t>
  </si>
  <si>
    <t xml:space="preserve">Cargador de GameMaker de PortMaster</t>
  </si>
  <si>
    <t xml:space="preserve">Tus archivos (Steam)</t>
  </si>
  <si>
    <t xml:space="preserve">Solo si la versión de PC trae data.win (no compilada a nativo)</t>
  </si>
  <si>
    <t xml:space="preserve">Cassette Beasts</t>
  </si>
  <si>
    <t xml:space="preserve">Motor Godot 3 de PortMaster</t>
  </si>
  <si>
    <t xml:space="preserve">RAM a verificar</t>
  </si>
  <si>
    <t xml:space="preserve">Salt and Sanctuary</t>
  </si>
  <si>
    <t xml:space="preserve">Mono/FNA de PortMaster</t>
  </si>
  <si>
    <t xml:space="preserve">Mismo estudio que Charlie Murder, que ya está portado</t>
  </si>
  <si>
    <t xml:space="preserve">Katana Zero</t>
  </si>
  <si>
    <t xml:space="preserve">Gunpoint</t>
  </si>
  <si>
    <t xml:space="preserve">Terraria</t>
  </si>
  <si>
    <t xml:space="preserve">Con 1 GB de RAM, muy dudoso</t>
  </si>
  <si>
    <t xml:space="preserve">Momodora: Reverie Under the Moonlight</t>
  </si>
  <si>
    <t xml:space="preserve">Heat Signature</t>
  </si>
  <si>
    <t xml:space="preserve">Hades</t>
  </si>
  <si>
    <t xml:space="preserve">Fuera de alcance</t>
  </si>
  <si>
    <t xml:space="preserve">Motor cerrado; pide 4 GB de RAM</t>
  </si>
  <si>
    <t xml:space="preserve">Animal Well</t>
  </si>
  <si>
    <t xml:space="preserve">Motor cerrado, sin versión de Android</t>
  </si>
  <si>
    <t xml:space="preserve">Ori and the Blind Forest</t>
  </si>
  <si>
    <t xml:space="preserve">Unity</t>
  </si>
  <si>
    <t xml:space="preserve">Sea of Stars</t>
  </si>
  <si>
    <t xml:space="preserve">Tunic</t>
  </si>
  <si>
    <t xml:space="preserve">Inscryption</t>
  </si>
  <si>
    <t xml:space="preserve">Enter the Gungeon</t>
  </si>
  <si>
    <t xml:space="preserve">Brotato</t>
  </si>
  <si>
    <t xml:space="preserve">Está en PortMaster, pero para consolas mucho más potentes</t>
  </si>
  <si>
    <t xml:space="preserve">Rain World</t>
  </si>
  <si>
    <t xml:space="preserve">Cantidad de juegos por sección y estado</t>
  </si>
  <si>
    <t xml:space="preserve">Se actualiza solo si cambiás la hoja Lista completa.</t>
  </si>
  <si>
    <t xml:space="preserve">Estado</t>
  </si>
  <si>
    <t xml:space="preserve">Total</t>
  </si>
  <si>
    <t xml:space="preserve">Puntaje promedio</t>
  </si>
  <si>
    <t xml:space="preserve">Control: filas de la lista</t>
  </si>
  <si>
    <t xml:space="preserve">Mejores juegos por consola y de Android (hojas aparte)</t>
  </si>
  <si>
    <t xml:space="preserve">Hoja</t>
  </si>
  <si>
    <t xml:space="preserve">Juegos</t>
  </si>
  <si>
    <t xml:space="preserve">Mejor puntaje</t>
  </si>
  <si>
    <t xml:space="preserve">Emulador en ArkOS</t>
  </si>
  <si>
    <t xml:space="preserve">FCEUmm / Nestopia (RetroArch)</t>
  </si>
  <si>
    <t xml:space="preserve">Snes9x (RetroArch)</t>
  </si>
  <si>
    <t xml:space="preserve">Gambatte (RetroArch)</t>
  </si>
  <si>
    <t xml:space="preserve">mGBA / gpSP (RetroArch)</t>
  </si>
  <si>
    <t xml:space="preserve">Genesis Plus GX / PicoDrive (RetroArch)</t>
  </si>
  <si>
    <t xml:space="preserve">Beetle PCE Fast (RetroArch)</t>
  </si>
  <si>
    <t xml:space="preserve">FinalBurn Neo (RetroArch)</t>
  </si>
  <si>
    <t xml:space="preserve">PCSX-ReARMed (RetroArch)</t>
  </si>
  <si>
    <t xml:space="preserve">Mupen64Plus</t>
  </si>
  <si>
    <t xml:space="preserve">DraStic</t>
  </si>
  <si>
    <t xml:space="preserve">PPSSPP (standalone)</t>
  </si>
  <si>
    <t xml:space="preserve">PortMaster o cargadores de Android</t>
  </si>
  <si>
    <t xml:space="preserve">Orden</t>
  </si>
  <si>
    <t xml:space="preserve">Esfuerzo</t>
  </si>
  <si>
    <t xml:space="preserve">Por qué conviene</t>
  </si>
  <si>
    <t xml:space="preserve">Qué hace falta</t>
  </si>
  <si>
    <t xml:space="preserve">The Elder Scrolls: Arena como port</t>
  </si>
  <si>
    <t xml:space="preserve">Bajo</t>
  </si>
  <si>
    <t xml:space="preserve">Es gratis y es de PC: se arma como entrada del menú Ports con sus controles, igual que FF7</t>
  </si>
  <si>
    <t xml:space="preserve">DOSBox empaquetado; motor nativo cuando OpenTESArena esté completo</t>
  </si>
  <si>
    <t xml:space="preserve">Star Wars: KOTOR 1 y 2</t>
  </si>
  <si>
    <t xml:space="preserve">Medio</t>
  </si>
  <si>
    <t xml:space="preserve">El cargador de Android ya existe en Vita (VitaKotor); KOTOR II va a ~25 FPS allá</t>
  </si>
  <si>
    <t xml:space="preserve">Llevar el cargador a Linux; tu APK</t>
  </si>
  <si>
    <t xml:space="preserve">Juegos de Android ya portados a PS Vita (GTA III/VC/SA, BG: Dark Alliance, NFS Hot Pursuit, Mass Effect Infiltrator, Fahrenheit, Thimbleweed Park, Dead Space, Bully, Leo's Fortune, Real Racing 2)</t>
  </si>
  <si>
    <t xml:space="preserve">PortMaster ya hizo lo mismo con Max Payne y Layton</t>
  </si>
  <si>
    <t xml:space="preserve">Adaptar cada cargador a Linux; tu APK</t>
  </si>
  <si>
    <t xml:space="preserve">Juegos de GameMaker sin port (UFO 50, Katana Zero, Momodora, Gunpoint, Heat Signature)</t>
  </si>
  <si>
    <t xml:space="preserve">Bajo a medio</t>
  </si>
  <si>
    <t xml:space="preserve">PortMaster ya tiene el cargador de GameMaker</t>
  </si>
  <si>
    <t xml:space="preserve">Que la versión de PC traiga data.win</t>
  </si>
  <si>
    <t xml:space="preserve">Cassette Beasts / Salt and Sanctuary</t>
  </si>
  <si>
    <t xml:space="preserve">PortMaster ya tiene los motores (Godot 3 y Mono/FNA)</t>
  </si>
  <si>
    <t xml:space="preserve">Tus archivos; verificar la RAM</t>
  </si>
  <si>
    <t xml:space="preserve">El lanzador para Linux ARM64 ya existe</t>
  </si>
  <si>
    <t xml:space="preserve">Tu APK; con 1 GB es dudoso</t>
  </si>
  <si>
    <t xml:space="preserve">Alto</t>
  </si>
  <si>
    <t xml:space="preserve">Ya existe una reimplementación parcial en Vita</t>
  </si>
  <si>
    <t xml:space="preserve">Revisar si su código está publicado y cuánto depende de la Vita</t>
  </si>
  <si>
    <t xml:space="preserve">GameCube no se puede emular en la R36S; si el port de Vita avanza, es candidato</t>
  </si>
  <si>
    <t xml:space="preserve">Esperar a que el port de Vita avance</t>
  </si>
  <si>
    <t xml:space="preserve">El código se puede leer; el límite es la potencia</t>
  </si>
  <si>
    <t xml:space="preserve">Motor nuevo hecho a medida</t>
  </si>
  <si>
    <t xml:space="preserve">FCEUmm / Nestopia (RetroArch). Todo el catálogo de NES corre a velocidad completa. El estado es una estimación: no se probó en tu consola.</t>
  </si>
  <si>
    <t xml:space="preserve">Año</t>
  </si>
  <si>
    <t xml:space="preserve">Género</t>
  </si>
  <si>
    <t xml:space="preserve">Super Mario Bros. 3</t>
  </si>
  <si>
    <t xml:space="preserve">Plataformas</t>
  </si>
  <si>
    <t xml:space="preserve">Contra</t>
  </si>
  <si>
    <t xml:space="preserve">Run and gun</t>
  </si>
  <si>
    <t xml:space="preserve">Castlevania III: Dracula's Curse</t>
  </si>
  <si>
    <t xml:space="preserve">Acción y plataformas</t>
  </si>
  <si>
    <t xml:space="preserve">Mike Tyson's Punch-Out!!</t>
  </si>
  <si>
    <t xml:space="preserve">Boxeo</t>
  </si>
  <si>
    <t xml:space="preserve">Kirby's Adventure</t>
  </si>
  <si>
    <t xml:space="preserve">Mega Man 3</t>
  </si>
  <si>
    <t xml:space="preserve">Super Mario Bros.</t>
  </si>
  <si>
    <t xml:space="preserve">The Legend of Zelda</t>
  </si>
  <si>
    <t xml:space="preserve">Aventura</t>
  </si>
  <si>
    <t xml:space="preserve">Castlevania</t>
  </si>
  <si>
    <t xml:space="preserve">DuckTales</t>
  </si>
  <si>
    <t xml:space="preserve">Ninja Gaiden</t>
  </si>
  <si>
    <t xml:space="preserve">Zelda II: The Adventure of Link</t>
  </si>
  <si>
    <t xml:space="preserve">Aventura y acción</t>
  </si>
  <si>
    <t xml:space="preserve">Dragon Quest (Dragon Warrior)</t>
  </si>
  <si>
    <t xml:space="preserve">RPG</t>
  </si>
  <si>
    <t xml:space="preserve">Metroid</t>
  </si>
  <si>
    <t xml:space="preserve">Acción y exploración</t>
  </si>
  <si>
    <t xml:space="preserve">Final Fantasy</t>
  </si>
  <si>
    <t xml:space="preserve">Mega Man 2</t>
  </si>
  <si>
    <t xml:space="preserve">Tetris (NES)</t>
  </si>
  <si>
    <t xml:space="preserve">Puzle</t>
  </si>
  <si>
    <t xml:space="preserve">Snes9x (RetroArch). Corre todo el catálogo, incluidos los juegos con chip Super FX. El estado es una estimación: no se probó en tu consola.</t>
  </si>
  <si>
    <t xml:space="preserve">Super Metroid</t>
  </si>
  <si>
    <t xml:space="preserve">Chrono Trigger</t>
  </si>
  <si>
    <t xml:space="preserve">Super Mario World 2: Yoshi's Island</t>
  </si>
  <si>
    <t xml:space="preserve">Usa el chip Super FX 2</t>
  </si>
  <si>
    <t xml:space="preserve">Super Mario World</t>
  </si>
  <si>
    <t xml:space="preserve">Super Mario Kart</t>
  </si>
  <si>
    <t xml:space="preserve">Carreras</t>
  </si>
  <si>
    <t xml:space="preserve">Final Fantasy VI (III en EE. UU.)</t>
  </si>
  <si>
    <t xml:space="preserve">The Legend of Zelda: A Link to the Past</t>
  </si>
  <si>
    <t xml:space="preserve">Street Fighter II Turbo</t>
  </si>
  <si>
    <t xml:space="preserve">Lucha</t>
  </si>
  <si>
    <t xml:space="preserve">Donkey Kong Country 2: Diddy's Kong Quest</t>
  </si>
  <si>
    <t xml:space="preserve">Mega Man X</t>
  </si>
  <si>
    <t xml:space="preserve">Super Mario RPG: Legend of the Seven Stars</t>
  </si>
  <si>
    <t xml:space="preserve">EarthBound</t>
  </si>
  <si>
    <t xml:space="preserve">Secret of Mana</t>
  </si>
  <si>
    <t xml:space="preserve">RPG de acción</t>
  </si>
  <si>
    <t xml:space="preserve">Star Fox</t>
  </si>
  <si>
    <t xml:space="preserve">Disparos en 3D</t>
  </si>
  <si>
    <t xml:space="preserve">Usa el chip Super FX</t>
  </si>
  <si>
    <t xml:space="preserve">Contra III: The Alien Wars</t>
  </si>
  <si>
    <t xml:space="preserve">Final Fantasy IV (II en EE. UU.)</t>
  </si>
  <si>
    <t xml:space="preserve">Super Punch-Out!!</t>
  </si>
  <si>
    <t xml:space="preserve">Super Castlevania IV</t>
  </si>
  <si>
    <t xml:space="preserve">Kirby Super Star</t>
  </si>
  <si>
    <t xml:space="preserve">F-Zero</t>
  </si>
  <si>
    <t xml:space="preserve">Gambatte (RetroArch). Game Boy y Game Boy Color corren perfecto. El estado es una estimación: no se probó en tu consola.</t>
  </si>
  <si>
    <t xml:space="preserve">Tetris (Game Boy)</t>
  </si>
  <si>
    <t xml:space="preserve">Super Mario Bros. Deluxe (GBC)</t>
  </si>
  <si>
    <t xml:space="preserve">Pokémon Oro y Plata (GBC)</t>
  </si>
  <si>
    <t xml:space="preserve">The Legend of Zelda: Oracle of Seasons / Oracle of Ages (GBC)</t>
  </si>
  <si>
    <t xml:space="preserve">Dos juegos que se enlazan</t>
  </si>
  <si>
    <t xml:space="preserve">Wario Land 3 (GBC)</t>
  </si>
  <si>
    <t xml:space="preserve">Pokémon Rojo y Azul</t>
  </si>
  <si>
    <t xml:space="preserve">Wario Land: Super Mario Land 3</t>
  </si>
  <si>
    <t xml:space="preserve">Pokémon Pinball (GBC)</t>
  </si>
  <si>
    <t xml:space="preserve">Pinball</t>
  </si>
  <si>
    <t xml:space="preserve">Super Mario Land 2: 6 Golden Coins</t>
  </si>
  <si>
    <t xml:space="preserve">Dragon Warrior Monsters (GBC)</t>
  </si>
  <si>
    <t xml:space="preserve">Pokémon Cristal (GBC)</t>
  </si>
  <si>
    <t xml:space="preserve">Metroid II: Return of Samus</t>
  </si>
  <si>
    <t xml:space="preserve">GameRankings Game Boy · dudoso</t>
  </si>
  <si>
    <t xml:space="preserve">Kirby's Dream Land 2</t>
  </si>
  <si>
    <t xml:space="preserve">Shantae (GBC)</t>
  </si>
  <si>
    <t xml:space="preserve">Final Fantasy Adventure</t>
  </si>
  <si>
    <t xml:space="preserve">Donkey Kong (Game Boy)</t>
  </si>
  <si>
    <t xml:space="preserve">Plataformas y puzle</t>
  </si>
  <si>
    <t xml:space="preserve">The Legend of Zelda: Link's Awakening DX (GBC)</t>
  </si>
  <si>
    <t xml:space="preserve">El original de Game Boy es de 1993</t>
  </si>
  <si>
    <t xml:space="preserve">mGBA / gpSP (RetroArch). Corre todo el catálogo a velocidad completa. El estado es una estimación: no se probó en tu consola.</t>
  </si>
  <si>
    <t xml:space="preserve">Tony Hawk's Pro Skater 2 (GBA)</t>
  </si>
  <si>
    <t xml:space="preserve">Deportes</t>
  </si>
  <si>
    <t xml:space="preserve">The Legend of Zelda: A Link to the Past &amp; Four Swords</t>
  </si>
  <si>
    <t xml:space="preserve">Super Mario Advance 4: Super Mario Bros. 3</t>
  </si>
  <si>
    <t xml:space="preserve">Mario Kart: Super Circuit</t>
  </si>
  <si>
    <t xml:space="preserve">Advance Wars</t>
  </si>
  <si>
    <t xml:space="preserve">Estrategia por turnos</t>
  </si>
  <si>
    <t xml:space="preserve">Super Mario World: Super Mario Advance 2</t>
  </si>
  <si>
    <t xml:space="preserve">Metroid Fusion</t>
  </si>
  <si>
    <t xml:space="preserve">Final Fantasy VI Advance</t>
  </si>
  <si>
    <t xml:space="preserve">Golden Sun</t>
  </si>
  <si>
    <t xml:space="preserve">Yoshi's Island: Super Mario Advance 3</t>
  </si>
  <si>
    <t xml:space="preserve">Castlevania: Aria of Sorrow</t>
  </si>
  <si>
    <t xml:space="preserve">Mario &amp; Luigi: Superstar Saga</t>
  </si>
  <si>
    <t xml:space="preserve">Advance Wars 2: Black Hole Rising</t>
  </si>
  <si>
    <t xml:space="preserve">Metroid: Zero Mission</t>
  </si>
  <si>
    <t xml:space="preserve">The Legend of Zelda: The Minish Cap</t>
  </si>
  <si>
    <t xml:space="preserve">Wario Land 4</t>
  </si>
  <si>
    <t xml:space="preserve">Fire Emblem (The Blazing Blade)</t>
  </si>
  <si>
    <t xml:space="preserve">Final Fantasy Tactics Advance</t>
  </si>
  <si>
    <t xml:space="preserve">Golden Sun: La Edad Perdida</t>
  </si>
  <si>
    <t xml:space="preserve">Pokémon Esmeralda</t>
  </si>
  <si>
    <t xml:space="preserve">Genesis Plus GX / PicoDrive (RetroArch). Corre todo el catálogo, también Sega CD y 32X. El estado es una estimación: no se probó en tu consola.</t>
  </si>
  <si>
    <t xml:space="preserve">Sonic the Hedgehog</t>
  </si>
  <si>
    <t xml:space="preserve">También como port nativo (PortMaster)</t>
  </si>
  <si>
    <t xml:space="preserve">Earthworm Jim</t>
  </si>
  <si>
    <t xml:space="preserve">Shining Force II</t>
  </si>
  <si>
    <t xml:space="preserve">Landstalker</t>
  </si>
  <si>
    <t xml:space="preserve">Ristar</t>
  </si>
  <si>
    <t xml:space="preserve">Rocket Knight Adventures</t>
  </si>
  <si>
    <t xml:space="preserve">Ecco the Dolphin</t>
  </si>
  <si>
    <t xml:space="preserve">ToeJam &amp; Earl</t>
  </si>
  <si>
    <t xml:space="preserve">Comix Zone</t>
  </si>
  <si>
    <t xml:space="preserve">Beat 'em up</t>
  </si>
  <si>
    <t xml:space="preserve">Sonic the Hedgehog 2</t>
  </si>
  <si>
    <t xml:space="preserve">Streets of Rage 2</t>
  </si>
  <si>
    <t xml:space="preserve">Thunder Force IV</t>
  </si>
  <si>
    <t xml:space="preserve">Shoot 'em up</t>
  </si>
  <si>
    <t xml:space="preserve">Gunstar Heroes</t>
  </si>
  <si>
    <t xml:space="preserve">Phantasy Star IV: The End of the Millennium</t>
  </si>
  <si>
    <t xml:space="preserve">Shinobi III: Return of the Ninja Master</t>
  </si>
  <si>
    <t xml:space="preserve">Disney's Aladdin</t>
  </si>
  <si>
    <t xml:space="preserve">Sonic 3 &amp; Knuckles</t>
  </si>
  <si>
    <t xml:space="preserve">También como port nativo: Sonic 3 A.I.R. (PortMaster)</t>
  </si>
  <si>
    <t xml:space="preserve">Castlevania: Bloodlines</t>
  </si>
  <si>
    <t xml:space="preserve">Contra: Hard Corps</t>
  </si>
  <si>
    <t xml:space="preserve">Beetle PCE Fast (RetroArch). Los juegos en CD (marcados "CD") necesitan la BIOS syscard3.pce en la carpeta bios. El estado es una estimación: no se probó en tu consola.</t>
  </si>
  <si>
    <t xml:space="preserve">Lords of Thunder (CD)</t>
  </si>
  <si>
    <t xml:space="preserve">Necesita syscard3.pce</t>
  </si>
  <si>
    <t xml:space="preserve">Castlevania: Rondo of Blood (CD)</t>
  </si>
  <si>
    <t xml:space="preserve">Blazing Lazers</t>
  </si>
  <si>
    <t xml:space="preserve">Ys Book I &amp; II (CD)</t>
  </si>
  <si>
    <t xml:space="preserve">Gate of Thunder (CD)</t>
  </si>
  <si>
    <t xml:space="preserve">Bonk's Revenge</t>
  </si>
  <si>
    <t xml:space="preserve">Bomberman '93</t>
  </si>
  <si>
    <t xml:space="preserve">Acción</t>
  </si>
  <si>
    <t xml:space="preserve">Military Madness</t>
  </si>
  <si>
    <t xml:space="preserve">Soldier Blade</t>
  </si>
  <si>
    <t xml:space="preserve">Bonk's Adventure</t>
  </si>
  <si>
    <t xml:space="preserve">Splatterhouse</t>
  </si>
  <si>
    <t xml:space="preserve">Alien Crush</t>
  </si>
  <si>
    <t xml:space="preserve">Neutopia</t>
  </si>
  <si>
    <t xml:space="preserve">Dungeon Explorer</t>
  </si>
  <si>
    <t xml:space="preserve">R-Type</t>
  </si>
  <si>
    <t xml:space="preserve">Spriggan (CD)</t>
  </si>
  <si>
    <t xml:space="preserve">FinalBurn Neo (RetroArch). Neo Geo necesita la BIOS neogeo.zip junto a los juegos o en la carpeta bios. El estado es una estimación: no se probó en tu consola.</t>
  </si>
  <si>
    <t xml:space="preserve">Street Fighter III: 3rd Strike (arcade CPS3)</t>
  </si>
  <si>
    <t xml:space="preserve">CPS3 es más exigente que Neo Geo</t>
  </si>
  <si>
    <t xml:space="preserve">Metal Slug</t>
  </si>
  <si>
    <t xml:space="preserve">Blazing Star</t>
  </si>
  <si>
    <t xml:space="preserve">The Last Blade 2</t>
  </si>
  <si>
    <t xml:space="preserve">Metal Slug 3</t>
  </si>
  <si>
    <t xml:space="preserve">Metal Slug X</t>
  </si>
  <si>
    <t xml:space="preserve">Garou: Mark of the Wolves</t>
  </si>
  <si>
    <t xml:space="preserve">Final Fight (arcade)</t>
  </si>
  <si>
    <t xml:space="preserve">Teenage Mutant Ninja Turtles (arcade)</t>
  </si>
  <si>
    <t xml:space="preserve">The Simpsons (arcade)</t>
  </si>
  <si>
    <t xml:space="preserve">Cadillacs and Dinosaurs (arcade)</t>
  </si>
  <si>
    <t xml:space="preserve">Samurai Shodown II</t>
  </si>
  <si>
    <t xml:space="preserve">Pulstar</t>
  </si>
  <si>
    <t xml:space="preserve">Twinkle Star Sprites</t>
  </si>
  <si>
    <t xml:space="preserve">Shoot 'em up / puzle</t>
  </si>
  <si>
    <t xml:space="preserve">Shock Troopers</t>
  </si>
  <si>
    <t xml:space="preserve">The King of Fighters '98</t>
  </si>
  <si>
    <t xml:space="preserve">Real Bout Fatal Fury 2</t>
  </si>
  <si>
    <t xml:space="preserve">Street Fighter Alpha 3 (arcade CPS2)</t>
  </si>
  <si>
    <t xml:space="preserve">Marvel vs. Capcom (arcade CPS2)</t>
  </si>
  <si>
    <t xml:space="preserve">The King of Fighters 2002</t>
  </si>
  <si>
    <t xml:space="preserve">PCSX-ReARMed (RetroArch). Los juegos de varios discos se juntan en un .pbp con pbpack, igual que FF7. El estado es una estimación: no se probó en tu consola.</t>
  </si>
  <si>
    <t xml:space="preserve">Tony Hawk's Pro Skater 2</t>
  </si>
  <si>
    <t xml:space="preserve">Gran Turismo</t>
  </si>
  <si>
    <t xml:space="preserve">Tekken 3</t>
  </si>
  <si>
    <t xml:space="preserve">Acción y sigilo</t>
  </si>
  <si>
    <t xml:space="preserve">ISS Pro Evolution</t>
  </si>
  <si>
    <t xml:space="preserve">Fútbol</t>
  </si>
  <si>
    <t xml:space="preserve">Wipeout XL (2097)</t>
  </si>
  <si>
    <t xml:space="preserve">Street Fighter Alpha 3</t>
  </si>
  <si>
    <t xml:space="preserve">Gran Turismo 2</t>
  </si>
  <si>
    <t xml:space="preserve">Nuestro port (menú Ports)</t>
  </si>
  <si>
    <t xml:space="preserve">Legacy of Kain: Soul Reaver</t>
  </si>
  <si>
    <t xml:space="preserve">Acción y aventura</t>
  </si>
  <si>
    <t xml:space="preserve">Ape Escape</t>
  </si>
  <si>
    <t xml:space="preserve">Usa los dos sticks</t>
  </si>
  <si>
    <t xml:space="preserve">Resident Evil 2</t>
  </si>
  <si>
    <t xml:space="preserve">Survival horror</t>
  </si>
  <si>
    <t xml:space="preserve">Crash Team Racing</t>
  </si>
  <si>
    <t xml:space="preserve">Spyro the Dragon</t>
  </si>
  <si>
    <t xml:space="preserve">Mupen64Plus. N64 depende del juego: los livianos van bien y los más pesados pueden ir lentos. El estado es una estimación: no se probó en tu consola.</t>
  </si>
  <si>
    <t xml:space="preserve">The Legend of Zelda: Ocarina of Time</t>
  </si>
  <si>
    <t xml:space="preserve">Existe un port nativo no oficial (Ship of Harkinian), fuera de PortMaster</t>
  </si>
  <si>
    <t xml:space="preserve">Disparos en primera persona</t>
  </si>
  <si>
    <t xml:space="preserve">Port nativo (PortMaster)</t>
  </si>
  <si>
    <t xml:space="preserve">Mejor como port nativo que emulado</t>
  </si>
  <si>
    <t xml:space="preserve">GoldenEye 007</t>
  </si>
  <si>
    <t xml:space="preserve">Hay un port nativo experimental (alfa) que pide dArkOS</t>
  </si>
  <si>
    <t xml:space="preserve">The Legend of Zelda: Majora's Mask</t>
  </si>
  <si>
    <t xml:space="preserve">Existe un port nativo no oficial (2Ship2Harkinian), fuera de PortMaster</t>
  </si>
  <si>
    <t xml:space="preserve">Super Mario 64</t>
  </si>
  <si>
    <t xml:space="preserve">Paper Mario</t>
  </si>
  <si>
    <t xml:space="preserve">Wave Race 64</t>
  </si>
  <si>
    <t xml:space="preserve">Banjo-Kazooie</t>
  </si>
  <si>
    <t xml:space="preserve">Conker's Bad Fur Day</t>
  </si>
  <si>
    <t xml:space="preserve">De los más pesados de la consola</t>
  </si>
  <si>
    <t xml:space="preserve">Mario Tennis</t>
  </si>
  <si>
    <t xml:space="preserve">Banjo-Tooie</t>
  </si>
  <si>
    <t xml:space="preserve">Star Fox 64</t>
  </si>
  <si>
    <t xml:space="preserve">Port nativo (PortMaster): Project Starship</t>
  </si>
  <si>
    <t xml:space="preserve">Diddy Kong Racing</t>
  </si>
  <si>
    <t xml:space="preserve">1080° Snowboarding</t>
  </si>
  <si>
    <t xml:space="preserve">F-Zero X</t>
  </si>
  <si>
    <t xml:space="preserve">Mario Kart 64</t>
  </si>
  <si>
    <t xml:space="preserve">Super Smash Bros.</t>
  </si>
  <si>
    <t xml:space="preserve">Pokémon Snap</t>
  </si>
  <si>
    <t xml:space="preserve">Fotografía / rieles</t>
  </si>
  <si>
    <t xml:space="preserve">DraStic. Las dos pantallas se acomodan en la de 640×480 (lado a lado o una por vez) y la táctil se maneja con el stick: los juegos muy táctiles quedan incómodos. El estado es una estimación: no se probó en tu consola.</t>
  </si>
  <si>
    <t xml:space="preserve">Grand Theft Auto: Chinatown Wars</t>
  </si>
  <si>
    <t xml:space="preserve">Chrono Trigger (DS)</t>
  </si>
  <si>
    <t xml:space="preserve">Mario Kart DS</t>
  </si>
  <si>
    <t xml:space="preserve">Advance Wars: Dual Strike</t>
  </si>
  <si>
    <t xml:space="preserve">The Legend of Zelda: Phantom Hourglass</t>
  </si>
  <si>
    <t xml:space="preserve">Se controla todo con la táctil</t>
  </si>
  <si>
    <t xml:space="preserve">Mario &amp; Luigi: Bowser's Inside Story</t>
  </si>
  <si>
    <t xml:space="preserve">New Super Mario Bros.</t>
  </si>
  <si>
    <t xml:space="preserve">Meteos</t>
  </si>
  <si>
    <t xml:space="preserve">Elite Beat Agents</t>
  </si>
  <si>
    <t xml:space="preserve">Ritmo</t>
  </si>
  <si>
    <t xml:space="preserve">Pokémon HeartGold y SoulSilver</t>
  </si>
  <si>
    <t xml:space="preserve">Dragon Quest IX</t>
  </si>
  <si>
    <t xml:space="preserve">Pokémon Negro y Blanco</t>
  </si>
  <si>
    <t xml:space="preserve">Castlevania: Order of Ecclesia</t>
  </si>
  <si>
    <t xml:space="preserve">Rhythm Heaven</t>
  </si>
  <si>
    <t xml:space="preserve">Ghost Trick: Phantom Detective</t>
  </si>
  <si>
    <t xml:space="preserve">Puzle y aventura</t>
  </si>
  <si>
    <t xml:space="preserve">Professor Layton and the Curious Village</t>
  </si>
  <si>
    <t xml:space="preserve">Táctil, pero pausado: se juega bien con el stick</t>
  </si>
  <si>
    <t xml:space="preserve">Kirby Super Star Ultra</t>
  </si>
  <si>
    <t xml:space="preserve">Phoenix Wright: Ace Attorney</t>
  </si>
  <si>
    <t xml:space="preserve">Aventura gráfica</t>
  </si>
  <si>
    <t xml:space="preserve">The World Ends with You</t>
  </si>
  <si>
    <t xml:space="preserve">Combate con la táctil</t>
  </si>
  <si>
    <t xml:space="preserve">PPSSPP (standalone). La PSP va al límite: elegí PPSSPP standalone en las opciones de ArkOS y bajá la resolución a 1×. Los livianos van bien; los 3D pesados, lentos. El estado es una estimación: no se probó en tu consola.</t>
  </si>
  <si>
    <t xml:space="preserve">God of War: Chains of Olympus</t>
  </si>
  <si>
    <t xml:space="preserve">Lumines</t>
  </si>
  <si>
    <t xml:space="preserve">Liviano: buen candidato</t>
  </si>
  <si>
    <t xml:space="preserve">Persona 3 Portable</t>
  </si>
  <si>
    <t xml:space="preserve">Grand Theft Auto: Liberty City Stories</t>
  </si>
  <si>
    <t xml:space="preserve">Wipeout Pure</t>
  </si>
  <si>
    <t xml:space="preserve">Tekken: Dark Resurrection</t>
  </si>
  <si>
    <t xml:space="preserve">Final Fantasy Tactics: The War of the Lions</t>
  </si>
  <si>
    <t xml:space="preserve">Disgaea: Afternoon of Darkness</t>
  </si>
  <si>
    <t xml:space="preserve">Grand Theft Auto: Vice City Stories</t>
  </si>
  <si>
    <t xml:space="preserve">Patapon</t>
  </si>
  <si>
    <t xml:space="preserve">Ritmo y estrategia</t>
  </si>
  <si>
    <t xml:space="preserve">God of War: Ghost of Sparta</t>
  </si>
  <si>
    <t xml:space="preserve">Daxter</t>
  </si>
  <si>
    <t xml:space="preserve">Crisis Core: Final Fantasy VII</t>
  </si>
  <si>
    <t xml:space="preserve">Valkyria Chronicles II</t>
  </si>
  <si>
    <t xml:space="preserve">Estrategia</t>
  </si>
  <si>
    <t xml:space="preserve">Kingdom Hearts: Birth by Sleep</t>
  </si>
  <si>
    <t xml:space="preserve">Patapon 2</t>
  </si>
  <si>
    <t xml:space="preserve">Monster Hunter Freedom Unite</t>
  </si>
  <si>
    <t xml:space="preserve">~30 FPS con tirones (reporte de r/R36S)</t>
  </si>
  <si>
    <t xml:space="preserve">Dissidia Final Fantasy</t>
  </si>
  <si>
    <t xml:space="preserve">Silent Hill: Origins</t>
  </si>
  <si>
    <t xml:space="preserve">Fluido sin salto de cuadros (reporte de r/R36S)</t>
  </si>
  <si>
    <t xml:space="preserve">Metal Gear Solid: Peace Walker</t>
  </si>
  <si>
    <t xml:space="preserve">Juegos hechos para celular que se juegan sin conexión. La R36S no corre Android: entran los que ya están en PortMaster o tienen un port de PS Vita para adaptar; el resto, en un celular o tablet.</t>
  </si>
  <si>
    <t xml:space="preserve">Cómo se juega en la R36S</t>
  </si>
  <si>
    <t xml:space="preserve">En Google Play</t>
  </si>
  <si>
    <t xml:space="preserve">Sin conexión</t>
  </si>
  <si>
    <t xml:space="preserve">Retirado (circula el APK)</t>
  </si>
  <si>
    <t xml:space="preserve">Sin confirmar</t>
  </si>
  <si>
    <t xml:space="preserve">El port de Vita (beta, 2026) usa la versión HD de Android. También está en la lista completa</t>
  </si>
  <si>
    <t xml:space="preserve">Implosion: Never Lose Hope</t>
  </si>
  <si>
    <t xml:space="preserve">Solo en el celular</t>
  </si>
  <si>
    <t xml:space="preserve">Sin port: en un celular o tablet Android</t>
  </si>
  <si>
    <t xml:space="preserve">Sí</t>
  </si>
  <si>
    <t xml:space="preserve">Crashlands</t>
  </si>
  <si>
    <t xml:space="preserve">RPG de acción y crafteo</t>
  </si>
  <si>
    <t xml:space="preserve">PortMaster (archivos de la versión de PC de Steam)</t>
  </si>
  <si>
    <t xml:space="preserve">Threes!</t>
  </si>
  <si>
    <t xml:space="preserve">Hecho en Unity: el cargador de Android no sirve</t>
  </si>
  <si>
    <t xml:space="preserve">XCOM: Enemy Within (celular)</t>
  </si>
  <si>
    <t xml:space="preserve">Unreal Engine 3. Figura como candidato en la lista de ports de Vita</t>
  </si>
  <si>
    <t xml:space="preserve">Alto's Adventure</t>
  </si>
  <si>
    <t xml:space="preserve">Corredor sin fin</t>
  </si>
  <si>
    <t xml:space="preserve">Ridiculous Fishing</t>
  </si>
  <si>
    <t xml:space="preserve">Arcade</t>
  </si>
  <si>
    <t xml:space="preserve">Pensado para pantalla táctil: incómodo con botones aunque se porteara. Figura como candidato en la lista de ports de Vita</t>
  </si>
  <si>
    <t xml:space="preserve">Gorogoa</t>
  </si>
  <si>
    <t xml:space="preserve">Pensado para pantalla táctil: incómodo con botones aunque se porteara</t>
  </si>
  <si>
    <t xml:space="preserve">The Room Three</t>
  </si>
  <si>
    <t xml:space="preserve">Pensado para pantalla táctil: incómodo con botones aunque se porteara. Hecho en Unity: el cargador de Android no sirve</t>
  </si>
  <si>
    <t xml:space="preserve">Kingdom Rush</t>
  </si>
  <si>
    <t xml:space="preserve">Defensa de torres</t>
  </si>
  <si>
    <t xml:space="preserve">Monument Valley</t>
  </si>
  <si>
    <t xml:space="preserve">Oddmar</t>
  </si>
  <si>
    <t xml:space="preserve">The Room</t>
  </si>
  <si>
    <t xml:space="preserve">The Room Two</t>
  </si>
  <si>
    <t xml:space="preserve">80 Days</t>
  </si>
  <si>
    <t xml:space="preserve">Aventura narrativa</t>
  </si>
  <si>
    <t xml:space="preserve">Alto's Odyssey</t>
  </si>
  <si>
    <t xml:space="preserve">Dead Space (celular, 2011)</t>
  </si>
  <si>
    <t xml:space="preserve">El Dead Space hecho para celulares, no el de consola. También está en la lista completa</t>
  </si>
  <si>
    <t xml:space="preserve">Reigns</t>
  </si>
  <si>
    <t xml:space="preserve">Cartas y decisiones</t>
  </si>
  <si>
    <t xml:space="preserve">También está en la lista completa</t>
  </si>
  <si>
    <t xml:space="preserve">Rayman Fiesta Run</t>
  </si>
  <si>
    <t xml:space="preserve">Plataformas (avance automático)</t>
  </si>
  <si>
    <t xml:space="preserve">Rayman Jungle Run y Rayman Adventures ya tienen port en PS Vita; este todavía no</t>
  </si>
  <si>
    <t xml:space="preserve">Card Thief</t>
  </si>
  <si>
    <t xml:space="preserve">Cartas</t>
  </si>
  <si>
    <t xml:space="preserve">Old Man's Journey</t>
  </si>
  <si>
    <t xml:space="preserve">The Room: Old Sins</t>
  </si>
  <si>
    <t xml:space="preserve">Grimvalor</t>
  </si>
  <si>
    <t xml:space="preserve">Badland</t>
  </si>
  <si>
    <t xml:space="preserve">Badland 2 ya tiene port en PS Vita (octubre 2026); este todavía no</t>
  </si>
  <si>
    <t xml:space="preserve">Oceanhorn</t>
  </si>
  <si>
    <t xml:space="preserve">Aventura estilo Zelda</t>
  </si>
  <si>
    <t xml:space="preserve">Kingdom Rush Frontiers</t>
  </si>
  <si>
    <t xml:space="preserve">Sorcery!</t>
  </si>
  <si>
    <t xml:space="preserve">Librojuego / RPG</t>
  </si>
  <si>
    <t xml:space="preserve">Primera parte de cuatro</t>
  </si>
  <si>
    <t xml:space="preserve">Chameleon Run</t>
  </si>
  <si>
    <t xml:space="preserve">El port de Vita (mayo 2026) usa el APK 1.0.5, la última versión de 32 bits. También está en la lista completa</t>
  </si>
  <si>
    <t xml:space="preserve">Fútbol americano</t>
  </si>
  <si>
    <t xml:space="preserve">PortMaster (tu compra en Google Play)</t>
  </si>
  <si>
    <t xml:space="preserve">Lara Croft GO</t>
  </si>
  <si>
    <t xml:space="preserve">Puzle por turnos</t>
  </si>
  <si>
    <t xml:space="preserve">Monument Valley 2</t>
  </si>
  <si>
    <t xml:space="preserve">Hidden Folks</t>
  </si>
  <si>
    <t xml:space="preserve">Buscar objetos</t>
  </si>
  <si>
    <t xml:space="preserve">Florence</t>
  </si>
  <si>
    <t xml:space="preserve">Narrativo</t>
  </si>
  <si>
    <t xml:space="preserve">PortMaster (APK o versión de PC de GOG)</t>
  </si>
  <si>
    <t xml:space="preserve">Hitman GO</t>
  </si>
  <si>
    <t xml:space="preserve">Mekorama</t>
  </si>
  <si>
    <t xml:space="preserve">The Battle of Polytopia</t>
  </si>
  <si>
    <t xml:space="preserve">Sin conexión: contra la máquina. Hecho en Unity: el cargador de Android no sirve</t>
  </si>
  <si>
    <t xml:space="preserve">Disparos en tercera persona</t>
  </si>
  <si>
    <t xml:space="preserve">Hoplite</t>
  </si>
  <si>
    <t xml:space="preserve">Roguelike por turnos</t>
  </si>
  <si>
    <t xml:space="preserve">Hundreds</t>
  </si>
  <si>
    <t xml:space="preserve">Kingdom Rush Origins</t>
  </si>
  <si>
    <t xml:space="preserve">Shattered Pixel Dungeon</t>
  </si>
  <si>
    <t xml:space="preserve">Roguelike</t>
  </si>
  <si>
    <t xml:space="preserve">PortMaster (listo para usar, gratis)</t>
  </si>
  <si>
    <t xml:space="preserve">Código abierto</t>
  </si>
  <si>
    <t xml:space="preserve">Data Wing</t>
  </si>
  <si>
    <t xml:space="preserve">Carreras arcade</t>
  </si>
  <si>
    <t xml:space="preserve">Bloons TD 6</t>
  </si>
  <si>
    <t xml:space="preserve">Pocket City</t>
  </si>
  <si>
    <t xml:space="preserve">Construcción de ciudades</t>
  </si>
  <si>
    <t xml:space="preserve">Mindustry</t>
  </si>
  <si>
    <t xml:space="preserve">Defensa de torres y automatización</t>
  </si>
  <si>
    <t xml:space="preserve">Término</t>
  </si>
  <si>
    <t xml:space="preserve">Significado</t>
  </si>
  <si>
    <t xml:space="preserve">R36S</t>
  </si>
  <si>
    <t xml:space="preserve">4 núcleos ARM Cortex-A35 a ~1,5 GHz, GPU Mali-G31 (OpenGL ES), 1 GB de RAM, pantalla de 640×480, dos sticks.</t>
  </si>
  <si>
    <t xml:space="preserve">Corre bien según el catálogo de PortMaster o por la época del juego.</t>
  </si>
  <si>
    <t xml:space="preserve">Corre, pero puede ir lento o tener límites.</t>
  </si>
  <si>
    <t xml:space="preserve">No existe todavía para la R36S, pero hay un camino concreto para hacerlo.</t>
  </si>
  <si>
    <t xml:space="preserve">No entra en la consola. Se juega con Moonlight: el juego corre en tu PC (Sunshine) y la R36S muestra la imagen. Necesita adaptador Wi-Fi USB.</t>
  </si>
  <si>
    <t xml:space="preserve">Juegos hechos para Android que la R36S no puede correr: no están en PortMaster ni tienen un port de PS Vita para adaptar. Se juegan en un celular o tablet.</t>
  </si>
  <si>
    <t xml:space="preserve">Android (APK)</t>
  </si>
  <si>
    <t xml:space="preserve">Los mejores juegos hechos para celular que se juegan sin conexión y se consiguen como APK. Puntaje: Metacritic de la versión de iOS (Metacritic no reseña Android; es el mismo juego). "Retirado" en Google Play = ya no se vende, pero el APK circula.</t>
  </si>
  <si>
    <t xml:space="preserve">Juegos pensados para mouse: el stick mueve el puntero. Cómodo en juegos por turnos, incómodo en tiempo real.</t>
  </si>
  <si>
    <t xml:space="preserve">Juegos de DOS que usan teclado: se asignan teclas a los botones.</t>
  </si>
  <si>
    <t xml:space="preserve">Dato del catálogo oficial de PortMaster (octubre 2026): el port existe y no está marcado como exigente (equipo potente, 2 GB de RAM u OpenGL de PC).</t>
  </si>
  <si>
    <t xml:space="preserve">Juicio propio según el motor, la época y los requisitos del juego. No probado.</t>
  </si>
  <si>
    <t xml:space="preserve">Ya existe un port del juego para PS Vita. La Vita tiene 4 núcleos ARM a 333-444 MHz y 512 MB de RAM: la R36S la supera en procesador y RAM, con gráficos de potencia parecida. Cada port de Vita hay que adaptarlo a Linux (gráficos, controles, sonido).</t>
  </si>
  <si>
    <t xml:space="preserve">Ports recientes a PS Vita de juegos que no se pueden emular en la R36S (cargadores de Android, GameCube). Son candidatos fuertes.</t>
  </si>
  <si>
    <t xml:space="preserve">Criterio</t>
  </si>
  <si>
    <t xml:space="preserve">Se quitaron los ports de juegos de consola que ya se juegan en la R36S con un emulador (N64, DS, PS1). Los juegos de PC que funcionan por port, como Arena, se mantienen.</t>
  </si>
  <si>
    <t xml:space="preserve">Puntaje de la crítica, de 0 a 100, en todas las hojas. Para ordenar: flechita del filtro en la columna Puntaje → Ordenar de mayor a menor. Vacío = sin puntaje de crítica (juegos libres, homebrew o sin suficientes reseñas); al ordenar quedan al final.</t>
  </si>
  <si>
    <t xml:space="preserve">Se calcula solo a partir del puntaje: Obra maestra (90+), Muy bueno (80-89), Bueno (70-79), Regular (menos de 70), Sin puntaje. Sirve para filtrar.</t>
  </si>
  <si>
    <t xml:space="preserve">Metascore de la crítica en Metacritic cuando existe, de la versión que se juega (PC para los ports; la consola original en las hojas por consola). Para juegos anteriores a ~1996, GameRankings (sitio archivado) o MobyGames. Se indica la plataforma y cada fuente tiene el link de dónde se sacó. En los grupos ("Quake II + expansiones", "Resident Evil 1, 2 y 3") el puntaje es del primer juego nombrado. Si la versión que se juega (por ejemplo la de celular) no tiene puntaje, se usa el de la versión original y se aclara entre paréntesis.</t>
  </si>
  <si>
    <t xml:space="preserve">dudoso</t>
  </si>
  <si>
    <t xml:space="preserve">Marca de la columna Fuente del puntaje: el número salió de una sola fuente secundaria, las fuentes no coinciden por 1 o 2 puntos, o no dicen la plataforma. Tomalo como aproximado.</t>
  </si>
  <si>
    <t xml:space="preserve">Hojas por consola</t>
  </si>
  <si>
    <t xml:space="preserve">Los juegos mejor puntuados de cada consola que la R36S ya emula, elegidos cruzando el Metascore con rankings de "mejores juegos" (fuentes abajo). Empiezan ordenados de mayor a menor puntaje. El estado es una estimación según el emulador.</t>
  </si>
  <si>
    <t xml:space="preserve">Dato tomado de la documentación oficial del proyecto.</t>
  </si>
  <si>
    <t xml:space="preserve">Lo probaste vos en tu R36S.</t>
  </si>
  <si>
    <t xml:space="preserve">Aviso</t>
  </si>
  <si>
    <t xml:space="preserve">Salvo Final Fantasy VII, nada de esta lista se probó en tu consola.</t>
  </si>
  <si>
    <t xml:space="preserve">Fuente</t>
  </si>
</sst>
</file>

<file path=xl/styles.xml><?xml version="1.0" encoding="utf-8"?>
<styleSheet xmlns="http://schemas.openxmlformats.org/spreadsheetml/2006/main">
  <numFmts count="3">
    <numFmt numFmtId="164" formatCode="General"/>
    <numFmt numFmtId="165" formatCode="0"/>
    <numFmt numFmtId="166" formatCode="General"/>
  </numFmts>
  <fonts count="18">
    <font>
      <sz val="11"/>
      <color theme="1"/>
      <name val="Calibri"/>
      <family val="2"/>
      <charset val="1"/>
    </font>
    <font>
      <sz val="10"/>
      <name val="Arial"/>
      <family val="0"/>
    </font>
    <font>
      <sz val="10"/>
      <name val="Arial"/>
      <family val="0"/>
    </font>
    <font>
      <sz val="10"/>
      <name val="Arial"/>
      <family val="0"/>
    </font>
    <font>
      <b val="true"/>
      <sz val="10"/>
      <color rgb="FF00F0FF"/>
      <name val="Arial"/>
      <family val="0"/>
      <charset val="1"/>
    </font>
    <font>
      <b val="true"/>
      <sz val="10"/>
      <color rgb="FFFFE6F8"/>
      <name val="Arial"/>
      <family val="0"/>
      <charset val="1"/>
    </font>
    <font>
      <sz val="10"/>
      <color rgb="FFFFE6F8"/>
      <name val="Arial"/>
      <family val="0"/>
      <charset val="1"/>
    </font>
    <font>
      <u val="single"/>
      <sz val="10"/>
      <color rgb="FF00F0FF"/>
      <name val="Arial"/>
      <family val="0"/>
      <charset val="1"/>
    </font>
    <font>
      <i val="true"/>
      <sz val="9"/>
      <color rgb="FFB79CD6"/>
      <name val="Arial"/>
      <family val="0"/>
      <charset val="1"/>
    </font>
    <font>
      <b val="true"/>
      <sz val="13"/>
      <color rgb="FF00F0FF"/>
      <name val="Arial"/>
      <family val="0"/>
      <charset val="1"/>
    </font>
    <font>
      <b val="true"/>
      <sz val="10"/>
      <color rgb="FFFF3CDC"/>
      <name val="Arial"/>
      <family val="0"/>
      <charset val="1"/>
    </font>
    <font>
      <b val="true"/>
      <u val="single"/>
      <sz val="10"/>
      <color rgb="FF00F0FF"/>
      <name val="Arial"/>
      <family val="0"/>
      <charset val="1"/>
    </font>
    <font>
      <i val="true"/>
      <sz val="9"/>
      <color rgb="FF00F0FF"/>
      <name val="Arial"/>
      <family val="0"/>
      <charset val="1"/>
    </font>
    <font>
      <b val="true"/>
      <sz val="10"/>
      <color rgb="FF5CFFE0"/>
      <name val="Arial"/>
      <family val="0"/>
      <charset val="1"/>
    </font>
    <font>
      <b val="true"/>
      <sz val="10"/>
      <color rgb="FFFFD166"/>
      <name val="Arial"/>
      <family val="0"/>
      <charset val="1"/>
    </font>
    <font>
      <b val="true"/>
      <sz val="10"/>
      <color rgb="FFD2B4FF"/>
      <name val="Arial"/>
      <family val="0"/>
      <charset val="1"/>
    </font>
    <font>
      <b val="true"/>
      <sz val="10"/>
      <color rgb="FFFF7AB8"/>
      <name val="Arial"/>
      <family val="0"/>
      <charset val="1"/>
    </font>
    <font>
      <b val="true"/>
      <sz val="10"/>
      <color rgb="FFB79CD6"/>
      <name val="Arial"/>
      <family val="0"/>
      <charset val="1"/>
    </font>
  </fonts>
  <fills count="10">
    <fill>
      <patternFill patternType="none"/>
    </fill>
    <fill>
      <patternFill patternType="gray125"/>
    </fill>
    <fill>
      <patternFill patternType="solid">
        <fgColor rgb="FF14052B"/>
        <bgColor rgb="FF1C0938"/>
      </patternFill>
    </fill>
    <fill>
      <patternFill patternType="solid">
        <fgColor rgb="FF2E0B57"/>
        <bgColor rgb="FF33176A"/>
      </patternFill>
    </fill>
    <fill>
      <patternFill patternType="solid">
        <fgColor rgb="FF1C0938"/>
        <bgColor rgb="FF14052B"/>
      </patternFill>
    </fill>
    <fill>
      <patternFill patternType="solid">
        <fgColor rgb="FF0B3B3F"/>
        <bgColor rgb="FF1F3D2A"/>
      </patternFill>
    </fill>
    <fill>
      <patternFill patternType="solid">
        <fgColor rgb="FF4A3410"/>
        <bgColor rgb="FF1F3D2A"/>
      </patternFill>
    </fill>
    <fill>
      <patternFill patternType="solid">
        <fgColor rgb="FF33176A"/>
        <bgColor rgb="FF2E0B57"/>
      </patternFill>
    </fill>
    <fill>
      <patternFill patternType="solid">
        <fgColor rgb="FF4D1036"/>
        <bgColor rgb="FF2E0B57"/>
      </patternFill>
    </fill>
    <fill>
      <patternFill patternType="solid">
        <fgColor rgb="FF2A2340"/>
        <bgColor rgb="FF33176A"/>
      </patternFill>
    </fill>
  </fills>
  <borders count="4">
    <border diagonalUp="false" diagonalDown="false">
      <left/>
      <right/>
      <top/>
      <bottom/>
      <diagonal/>
    </border>
    <border diagonalUp="false" diagonalDown="false">
      <left style="thin">
        <color rgb="FF4A1F7A"/>
      </left>
      <right style="thin">
        <color rgb="FF4A1F7A"/>
      </right>
      <top style="thin">
        <color rgb="FF4A1F7A"/>
      </top>
      <bottom style="medium">
        <color rgb="FFFF3CDC"/>
      </bottom>
      <diagonal/>
    </border>
    <border diagonalUp="false" diagonalDown="false">
      <left style="thin">
        <color rgb="FF4A1F7A"/>
      </left>
      <right style="thin">
        <color rgb="FF4A1F7A"/>
      </right>
      <top style="thin">
        <color rgb="FF4A1F7A"/>
      </top>
      <bottom style="thin">
        <color rgb="FF4A1F7A"/>
      </bottom>
      <diagonal/>
    </border>
    <border diagonalUp="false" diagonalDown="false">
      <left style="thin">
        <color rgb="FF4A1F7A"/>
      </left>
      <right/>
      <top style="thin">
        <color rgb="FF4A1F7A"/>
      </top>
      <bottom style="thin">
        <color rgb="FF4A1F7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center" textRotation="0" wrapText="true" indent="0" shrinkToFit="false"/>
      <protection locked="true" hidden="false"/>
    </xf>
    <xf numFmtId="164" fontId="5" fillId="2" borderId="2" xfId="0" applyFont="true" applyBorder="true" applyAlignment="true" applyProtection="false">
      <alignment horizontal="general" vertical="top" textRotation="0" wrapText="true" indent="0" shrinkToFit="false"/>
      <protection locked="true" hidden="false"/>
    </xf>
    <xf numFmtId="165" fontId="5" fillId="2" borderId="2" xfId="0" applyFont="true" applyBorder="true" applyAlignment="true" applyProtection="false">
      <alignment horizontal="center" vertical="top" textRotation="0" wrapText="false" indent="0" shrinkToFit="false"/>
      <protection locked="true" hidden="false"/>
    </xf>
    <xf numFmtId="164" fontId="6" fillId="2" borderId="2" xfId="0" applyFont="true" applyBorder="true" applyAlignment="true" applyProtection="false">
      <alignment horizontal="center" vertical="top" textRotation="0" wrapText="true" indent="0" shrinkToFit="false"/>
      <protection locked="true" hidden="false"/>
    </xf>
    <xf numFmtId="164" fontId="6" fillId="2" borderId="2" xfId="0" applyFont="true" applyBorder="true" applyAlignment="true" applyProtection="false">
      <alignment horizontal="general" vertical="top" textRotation="0" wrapText="true" indent="0" shrinkToFit="false"/>
      <protection locked="true" hidden="false"/>
    </xf>
    <xf numFmtId="164" fontId="7" fillId="2" borderId="2" xfId="0" applyFont="true" applyBorder="true" applyAlignment="true" applyProtection="false">
      <alignment horizontal="general" vertical="top" textRotation="0" wrapText="true" indent="0" shrinkToFit="false"/>
      <protection locked="true" hidden="false"/>
    </xf>
    <xf numFmtId="164" fontId="5" fillId="4" borderId="2" xfId="0" applyFont="true" applyBorder="true" applyAlignment="true" applyProtection="false">
      <alignment horizontal="general" vertical="top" textRotation="0" wrapText="true" indent="0" shrinkToFit="false"/>
      <protection locked="true" hidden="false"/>
    </xf>
    <xf numFmtId="165" fontId="5" fillId="4" borderId="2" xfId="0" applyFont="true" applyBorder="true" applyAlignment="true" applyProtection="false">
      <alignment horizontal="center" vertical="top" textRotation="0" wrapText="false" indent="0" shrinkToFit="false"/>
      <protection locked="true" hidden="false"/>
    </xf>
    <xf numFmtId="164" fontId="6" fillId="4" borderId="2" xfId="0" applyFont="true" applyBorder="true" applyAlignment="true" applyProtection="false">
      <alignment horizontal="center" vertical="top" textRotation="0" wrapText="true" indent="0" shrinkToFit="false"/>
      <protection locked="true" hidden="false"/>
    </xf>
    <xf numFmtId="164" fontId="6" fillId="4"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8" fillId="2" borderId="2" xfId="0" applyFont="true" applyBorder="true" applyAlignment="true" applyProtection="false">
      <alignment horizontal="general" vertical="top" textRotation="0" wrapText="true" indent="0" shrinkToFit="false"/>
      <protection locked="true" hidden="false"/>
    </xf>
    <xf numFmtId="164" fontId="8" fillId="4" borderId="2"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false" applyProtection="false">
      <alignment horizontal="general" vertical="bottom" textRotation="0" wrapText="false" indent="0" shrinkToFit="false"/>
      <protection locked="true" hidden="false"/>
    </xf>
    <xf numFmtId="166" fontId="6" fillId="4" borderId="2" xfId="0" applyFont="true" applyBorder="true" applyAlignment="true" applyProtection="false">
      <alignment horizontal="center" vertical="bottom" textRotation="0" wrapText="false" indent="0" shrinkToFit="false"/>
      <protection locked="true" hidden="false"/>
    </xf>
    <xf numFmtId="164" fontId="6" fillId="2" borderId="2" xfId="0" applyFont="true" applyBorder="true" applyAlignment="false" applyProtection="false">
      <alignment horizontal="general" vertical="bottom" textRotation="0" wrapText="false" indent="0" shrinkToFit="false"/>
      <protection locked="true" hidden="false"/>
    </xf>
    <xf numFmtId="166" fontId="6" fillId="2" borderId="2" xfId="0" applyFont="true" applyBorder="true" applyAlignment="true" applyProtection="false">
      <alignment horizontal="center" vertical="bottom" textRotation="0" wrapText="false" indent="0" shrinkToFit="false"/>
      <protection locked="true" hidden="false"/>
    </xf>
    <xf numFmtId="164" fontId="4" fillId="3" borderId="2" xfId="0" applyFont="true" applyBorder="true" applyAlignment="false" applyProtection="false">
      <alignment horizontal="general" vertical="bottom" textRotation="0" wrapText="false" indent="0" shrinkToFit="false"/>
      <protection locked="true" hidden="false"/>
    </xf>
    <xf numFmtId="166" fontId="4" fillId="3" borderId="2" xfId="0" applyFont="true" applyBorder="true" applyAlignment="true" applyProtection="false">
      <alignment horizontal="center" vertical="bottom" textRotation="0" wrapText="false" indent="0" shrinkToFit="false"/>
      <protection locked="true" hidden="false"/>
    </xf>
    <xf numFmtId="165" fontId="10" fillId="2" borderId="2" xfId="0" applyFont="true" applyBorder="true" applyAlignment="false" applyProtection="false">
      <alignment horizontal="general" vertical="bottom" textRotation="0" wrapText="false" indent="0" shrinkToFit="false"/>
      <protection locked="true" hidden="false"/>
    </xf>
    <xf numFmtId="165" fontId="10" fillId="2" borderId="2" xfId="0" applyFont="true" applyBorder="true" applyAlignment="true" applyProtection="false">
      <alignment horizontal="center" vertical="bottom" textRotation="0" wrapText="false" indent="0" shrinkToFit="false"/>
      <protection locked="true" hidden="false"/>
    </xf>
    <xf numFmtId="164" fontId="4" fillId="3" borderId="3" xfId="0" applyFont="true" applyBorder="true" applyAlignment="true" applyProtection="false">
      <alignment horizontal="center" vertical="center" textRotation="0" wrapText="true" indent="0" shrinkToFit="false"/>
      <protection locked="true" hidden="false"/>
    </xf>
    <xf numFmtId="164" fontId="11" fillId="2" borderId="2" xfId="0" applyFont="true" applyBorder="true" applyAlignment="false" applyProtection="false">
      <alignment horizontal="general" vertical="bottom" textRotation="0" wrapText="false" indent="0" shrinkToFit="false"/>
      <protection locked="true" hidden="false"/>
    </xf>
    <xf numFmtId="165" fontId="6" fillId="2" borderId="2" xfId="0" applyFont="true" applyBorder="true" applyAlignment="true" applyProtection="false">
      <alignment horizontal="center" vertical="bottom" textRotation="0" wrapText="false" indent="0" shrinkToFit="false"/>
      <protection locked="true" hidden="false"/>
    </xf>
    <xf numFmtId="164" fontId="6" fillId="2" borderId="3" xfId="0" applyFont="true" applyBorder="true" applyAlignment="false" applyProtection="false">
      <alignment horizontal="general" vertical="bottom" textRotation="0" wrapText="false" indent="0" shrinkToFit="false"/>
      <protection locked="true" hidden="false"/>
    </xf>
    <xf numFmtId="164" fontId="11" fillId="4" borderId="2" xfId="0" applyFont="true" applyBorder="true" applyAlignment="false" applyProtection="false">
      <alignment horizontal="general" vertical="bottom" textRotation="0" wrapText="false" indent="0" shrinkToFit="false"/>
      <protection locked="true" hidden="false"/>
    </xf>
    <xf numFmtId="165" fontId="6" fillId="4" borderId="2" xfId="0" applyFont="true" applyBorder="true" applyAlignment="true" applyProtection="false">
      <alignment horizontal="center" vertical="bottom" textRotation="0" wrapText="false" indent="0" shrinkToFit="false"/>
      <protection locked="true" hidden="false"/>
    </xf>
    <xf numFmtId="164" fontId="6" fillId="4" borderId="3" xfId="0" applyFont="true" applyBorder="true" applyAlignment="false" applyProtection="false">
      <alignment horizontal="general" vertical="bottom" textRotation="0" wrapText="false" indent="0" shrinkToFit="false"/>
      <protection locked="true" hidden="false"/>
    </xf>
    <xf numFmtId="164" fontId="6" fillId="2" borderId="2" xfId="0" applyFont="true" applyBorder="true" applyAlignment="true" applyProtection="false">
      <alignment horizontal="center" vertical="top" textRotation="0" wrapText="false" indent="0" shrinkToFit="false"/>
      <protection locked="true" hidden="false"/>
    </xf>
    <xf numFmtId="164" fontId="6" fillId="4" borderId="2" xfId="0" applyFont="true" applyBorder="true" applyAlignment="true" applyProtection="false">
      <alignment horizontal="center" vertical="top"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3" fillId="5" borderId="2" xfId="0" applyFont="true" applyBorder="true" applyAlignment="true" applyProtection="false">
      <alignment horizontal="general" vertical="top" textRotation="0" wrapText="true" indent="0" shrinkToFit="false"/>
      <protection locked="true" hidden="false"/>
    </xf>
    <xf numFmtId="164" fontId="14" fillId="6" borderId="2" xfId="0" applyFont="true" applyBorder="true" applyAlignment="true" applyProtection="false">
      <alignment horizontal="general" vertical="top" textRotation="0" wrapText="true" indent="0" shrinkToFit="false"/>
      <protection locked="true" hidden="false"/>
    </xf>
    <xf numFmtId="164" fontId="15" fillId="7" borderId="2" xfId="0" applyFont="true" applyBorder="true" applyAlignment="true" applyProtection="false">
      <alignment horizontal="general" vertical="top" textRotation="0" wrapText="true" indent="0" shrinkToFit="false"/>
      <protection locked="true" hidden="false"/>
    </xf>
    <xf numFmtId="164" fontId="16" fillId="8" borderId="2" xfId="0" applyFont="true" applyBorder="true" applyAlignment="true" applyProtection="false">
      <alignment horizontal="general" vertical="top" textRotation="0" wrapText="true" indent="0" shrinkToFit="false"/>
      <protection locked="true" hidden="false"/>
    </xf>
    <xf numFmtId="164" fontId="17" fillId="9"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3">
    <dxf>
      <fill>
        <patternFill patternType="solid">
          <fgColor rgb="FF14052B"/>
          <bgColor rgb="FF000000"/>
        </patternFill>
      </fill>
    </dxf>
    <dxf>
      <fill>
        <patternFill patternType="solid">
          <fgColor rgb="FF1C0938"/>
          <bgColor rgb="FF000000"/>
        </patternFill>
      </fill>
    </dxf>
    <dxf>
      <fill>
        <patternFill patternType="solid">
          <fgColor rgb="FF2E0B57"/>
          <bgColor rgb="FF000000"/>
        </patternFill>
      </fill>
    </dxf>
    <dxf>
      <fill>
        <patternFill patternType="solid">
          <fgColor rgb="FF00F0FF"/>
          <bgColor rgb="FF000000"/>
        </patternFill>
      </fill>
    </dxf>
    <dxf>
      <fill>
        <patternFill patternType="solid">
          <fgColor rgb="FFFFE6F8"/>
          <bgColor rgb="FF000000"/>
        </patternFill>
      </fill>
    </dxf>
    <dxf>
      <fill>
        <patternFill patternType="solid">
          <fgColor rgb="FF0B3B3F"/>
          <bgColor rgb="FF000000"/>
        </patternFill>
      </fill>
    </dxf>
    <dxf>
      <fill>
        <patternFill patternType="solid">
          <fgColor rgb="FF1F3D2A"/>
          <bgColor rgb="FF000000"/>
        </patternFill>
      </fill>
    </dxf>
    <dxf>
      <fill>
        <patternFill patternType="solid">
          <fgColor rgb="FF4A3410"/>
          <bgColor rgb="FF000000"/>
        </patternFill>
      </fill>
    </dxf>
    <dxf>
      <fill>
        <patternFill patternType="solid">
          <fgColor rgb="FF4D1036"/>
          <bgColor rgb="FF000000"/>
        </patternFill>
      </fill>
    </dxf>
    <dxf>
      <fill>
        <patternFill patternType="solid">
          <fgColor rgb="FF5CFFE0"/>
          <bgColor rgb="FF000000"/>
        </patternFill>
      </fill>
    </dxf>
    <dxf>
      <fill>
        <patternFill patternType="solid">
          <fgColor rgb="FFB8F59A"/>
          <bgColor rgb="FF000000"/>
        </patternFill>
      </fill>
    </dxf>
    <dxf>
      <fill>
        <patternFill patternType="solid">
          <fgColor rgb="FFFF7AB8"/>
          <bgColor rgb="FF000000"/>
        </patternFill>
      </fill>
    </dxf>
    <dxf>
      <fill>
        <patternFill patternType="solid">
          <fgColor rgb="FFFFD166"/>
          <bgColor rgb="FF000000"/>
        </patternFill>
      </fill>
    </dxf>
    <dxf>
      <fill>
        <patternFill patternType="solid">
          <fgColor rgb="FF33176A"/>
          <bgColor rgb="FF000000"/>
        </patternFill>
      </fill>
    </dxf>
    <dxf>
      <fill>
        <patternFill patternType="solid">
          <fgColor rgb="FFD2B4FF"/>
          <bgColor rgb="FF000000"/>
        </patternFill>
      </fill>
    </dxf>
    <dxf>
      <fill>
        <patternFill patternType="solid">
          <fgColor rgb="FFB79CD6"/>
          <bgColor rgb="FF000000"/>
        </patternFill>
      </fill>
    </dxf>
    <dxf>
      <font>
        <b val="1"/>
        <color rgb="FF5CFFE0"/>
      </font>
      <fill>
        <patternFill>
          <bgColor rgb="FF0B3B3F"/>
        </patternFill>
      </fill>
    </dxf>
    <dxf>
      <font>
        <b val="1"/>
        <color rgb="FFB8F59A"/>
      </font>
      <fill>
        <patternFill>
          <bgColor rgb="FF1F3D2A"/>
        </patternFill>
      </fill>
    </dxf>
    <dxf>
      <font>
        <b val="1"/>
        <color rgb="FFFFD166"/>
      </font>
      <fill>
        <patternFill>
          <bgColor rgb="FF4A3410"/>
        </patternFill>
      </fill>
    </dxf>
    <dxf>
      <font>
        <b val="1"/>
        <color rgb="FFFF7AB8"/>
      </font>
      <fill>
        <patternFill>
          <bgColor rgb="FF4D1036"/>
        </patternFill>
      </fill>
    </dxf>
    <dxf>
      <font>
        <b val="1"/>
        <color rgb="FFD2B4FF"/>
      </font>
      <fill>
        <patternFill>
          <bgColor rgb="FF33176A"/>
        </patternFill>
      </fill>
    </dxf>
    <dxf>
      <fill>
        <patternFill patternType="solid">
          <fgColor rgb="FF2A2340"/>
          <bgColor rgb="FF000000"/>
        </patternFill>
      </fill>
    </dxf>
    <dxf>
      <font>
        <b val="1"/>
        <color rgb="FFB79CD6"/>
      </font>
      <fill>
        <patternFill>
          <bgColor rgb="FF2A2340"/>
        </patternFill>
      </fill>
    </dxf>
  </dxfs>
  <colors>
    <indexedColors>
      <rgbColor rgb="FF000000"/>
      <rgbColor rgb="FFFFE6F8"/>
      <rgbColor rgb="FFFF0000"/>
      <rgbColor rgb="FF00FF00"/>
      <rgbColor rgb="FF0000FF"/>
      <rgbColor rgb="FFFFFF00"/>
      <rgbColor rgb="FFFF3CDC"/>
      <rgbColor rgb="FF00F0FF"/>
      <rgbColor rgb="FF14052B"/>
      <rgbColor rgb="FF008000"/>
      <rgbColor rgb="FF1C0938"/>
      <rgbColor rgb="FF808000"/>
      <rgbColor rgb="FF33176A"/>
      <rgbColor rgb="FF008080"/>
      <rgbColor rgb="FFC0C0C0"/>
      <rgbColor rgb="FF808080"/>
      <rgbColor rgb="FF9999FF"/>
      <rgbColor rgb="FF993366"/>
      <rgbColor rgb="FFFFFFCC"/>
      <rgbColor rgb="FFCCFFFF"/>
      <rgbColor rgb="FF4D1036"/>
      <rgbColor rgb="FFFF7AB8"/>
      <rgbColor rgb="FF0066CC"/>
      <rgbColor rgb="FFD2B4FF"/>
      <rgbColor rgb="FF2E0B57"/>
      <rgbColor rgb="FFFF00FF"/>
      <rgbColor rgb="FFFFFF00"/>
      <rgbColor rgb="FF00FFFF"/>
      <rgbColor rgb="FF800080"/>
      <rgbColor rgb="FF800000"/>
      <rgbColor rgb="FF008080"/>
      <rgbColor rgb="FF0000FF"/>
      <rgbColor rgb="FF00CCFF"/>
      <rgbColor rgb="FFCCFFFF"/>
      <rgbColor rgb="FFB8F59A"/>
      <rgbColor rgb="FFFFFF99"/>
      <rgbColor rgb="FF99CCFF"/>
      <rgbColor rgb="FFFF99CC"/>
      <rgbColor rgb="FFB79CD6"/>
      <rgbColor rgb="FFFFD166"/>
      <rgbColor rgb="FF3366FF"/>
      <rgbColor rgb="FF5CFFE0"/>
      <rgbColor rgb="FF99CC00"/>
      <rgbColor rgb="FFFFCC00"/>
      <rgbColor rgb="FFFF9900"/>
      <rgbColor rgb="FFFF6600"/>
      <rgbColor rgb="FF666699"/>
      <rgbColor rgb="FF969696"/>
      <rgbColor rgb="FF0B3B3F"/>
      <rgbColor rgb="FF339966"/>
      <rgbColor rgb="FF2A2340"/>
      <rgbColor rgb="FF4A3410"/>
      <rgbColor rgb="FF993300"/>
      <rgbColor rgb="FF993366"/>
      <rgbColor rgb="FF4A1F7A"/>
      <rgbColor rgb="FF1F3D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5.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image" Target="../media/image1.png"/>
</Relationships>
</file>

<file path=xl/drawings/_rels/drawing9.xml.rels><?xml version="1.0" encoding="UTF-8"?>
<Relationships xmlns="http://schemas.openxmlformats.org/package/2006/relationships"><Relationship Id="rId1" Type="http://schemas.openxmlformats.org/officeDocument/2006/relationships/image" Target="../media/image1.png"/>
</Relationships>
</file>

<file path=xl/drawings/_rels/drawing10.xml.rels><?xml version="1.0" encoding="UTF-8"?>
<Relationships xmlns="http://schemas.openxmlformats.org/package/2006/relationships"><Relationship Id="rId1" Type="http://schemas.openxmlformats.org/officeDocument/2006/relationships/image" Target="../media/image1.png"/>
</Relationships>
</file>

<file path=xl/drawings/_rels/drawing11.xml.rels><?xml version="1.0" encoding="UTF-8"?>
<Relationships xmlns="http://schemas.openxmlformats.org/package/2006/relationships"><Relationship Id="rId1" Type="http://schemas.openxmlformats.org/officeDocument/2006/relationships/image" Target="../media/image1.png"/>
</Relationships>
</file>

<file path=xl/drawings/_rels/drawing12.xml.rels><?xml version="1.0" encoding="UTF-8"?>
<Relationships xmlns="http://schemas.openxmlformats.org/package/2006/relationships"><Relationship Id="rId1" Type="http://schemas.openxmlformats.org/officeDocument/2006/relationships/image" Target="../media/image1.png"/>
</Relationships>
</file>

<file path=xl/drawings/_rels/drawing13.xml.rels><?xml version="1.0" encoding="UTF-8"?>
<Relationships xmlns="http://schemas.openxmlformats.org/package/2006/relationships"><Relationship Id="rId1" Type="http://schemas.openxmlformats.org/officeDocument/2006/relationships/image" Target="../media/image1.png"/>
</Relationships>
</file>

<file path=xl/drawings/_rels/drawing14.xml.rels><?xml version="1.0" encoding="UTF-8"?>
<Relationships xmlns="http://schemas.openxmlformats.org/package/2006/relationships"><Relationship Id="rId1" Type="http://schemas.openxmlformats.org/officeDocument/2006/relationships/image" Target="../media/image1.png"/>
</Relationships>
</file>

<file path=xl/drawings/_rels/drawing15.xml.rels><?xml version="1.0" encoding="UTF-8"?>
<Relationships xmlns="http://schemas.openxmlformats.org/package/2006/relationships"><Relationship Id="rId1" Type="http://schemas.openxmlformats.org/officeDocument/2006/relationships/image" Target="../media/image1.png"/>
</Relationships>
</file>

<file path=xl/drawings/_rels/drawing16.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7200</xdr:colOff>
      <xdr:row>0</xdr:row>
      <xdr:rowOff>952200</xdr:rowOff>
    </xdr:to>
    <xdr:pic>
      <xdr:nvPicPr>
        <xdr:cNvPr id="0"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6</xdr:col>
      <xdr:colOff>782640</xdr:colOff>
      <xdr:row>0</xdr:row>
      <xdr:rowOff>952200</xdr:rowOff>
    </xdr:to>
    <xdr:pic>
      <xdr:nvPicPr>
        <xdr:cNvPr id="1"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3</xdr:col>
      <xdr:colOff>1981080</xdr:colOff>
      <xdr:row>0</xdr:row>
      <xdr:rowOff>952200</xdr:rowOff>
    </xdr:to>
    <xdr:pic>
      <xdr:nvPicPr>
        <xdr:cNvPr id="2"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3"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4"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5"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6"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7"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8"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9"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10"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11"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12"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13"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782640</xdr:colOff>
      <xdr:row>0</xdr:row>
      <xdr:rowOff>952200</xdr:rowOff>
    </xdr:to>
    <xdr:pic>
      <xdr:nvPicPr>
        <xdr:cNvPr id="14"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5505120</xdr:colOff>
      <xdr:row>0</xdr:row>
      <xdr:rowOff>952200</xdr:rowOff>
    </xdr:to>
    <xdr:pic>
      <xdr:nvPicPr>
        <xdr:cNvPr id="15" name="Image 1" descr="Picture"/>
        <xdr:cNvPicPr/>
      </xdr:nvPicPr>
      <xdr:blipFill>
        <a:blip r:embed="rId1"/>
        <a:stretch/>
      </xdr:blipFill>
      <xdr:spPr>
        <a:xfrm>
          <a:off x="0" y="0"/>
          <a:ext cx="7619760" cy="9522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_rels/sheet16.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CDC"/>
    <pageSetUpPr fitToPage="true"/>
  </sheetPr>
  <dimension ref="A1:O2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9"/>
    <col collapsed="false" customWidth="true" hidden="false" outlineLevel="0" max="3" min="3" style="0" width="17"/>
    <col collapsed="false" customWidth="true" hidden="false" outlineLevel="0" max="4" min="4" style="0" width="24"/>
    <col collapsed="false" customWidth="true" hidden="false" outlineLevel="0" max="5" min="5" style="0" width="16"/>
    <col collapsed="false" customWidth="true" hidden="false" outlineLevel="0" max="6" min="6" style="0" width="36"/>
    <col collapsed="false" customWidth="true" hidden="false" outlineLevel="0" max="7" min="7" style="0" width="34"/>
    <col collapsed="false" customWidth="true" hidden="false" outlineLevel="0" max="8" min="8" style="0" width="22"/>
    <col collapsed="false" customWidth="true" hidden="false" outlineLevel="0" max="9" min="9" style="0" width="52"/>
    <col collapsed="false" customWidth="true" hidden="false" outlineLevel="0" max="10" min="10" style="0" width="24"/>
    <col collapsed="false" customWidth="true" hidden="false" outlineLevel="0" max="11" min="11" style="0" width="22"/>
  </cols>
  <sheetData>
    <row r="1" customFormat="false" ht="75.75" hidden="false" customHeight="true" outlineLevel="0" collapsed="false">
      <c r="A1" s="1"/>
      <c r="B1" s="1"/>
      <c r="C1" s="1"/>
      <c r="D1" s="1"/>
      <c r="E1" s="1"/>
      <c r="F1" s="1"/>
      <c r="G1" s="1"/>
      <c r="H1" s="1"/>
      <c r="I1" s="1"/>
      <c r="J1" s="1"/>
      <c r="K1" s="1"/>
      <c r="L1" s="1"/>
      <c r="M1" s="1"/>
      <c r="N1" s="1"/>
      <c r="O1" s="1"/>
    </row>
    <row r="2" customFormat="false" ht="6" hidden="false" customHeight="true" outlineLevel="0" collapsed="false">
      <c r="A2" s="1"/>
      <c r="B2" s="1"/>
      <c r="C2" s="1"/>
      <c r="D2" s="1"/>
      <c r="E2" s="1"/>
      <c r="F2" s="1"/>
      <c r="G2" s="1"/>
      <c r="H2" s="1"/>
      <c r="I2" s="1"/>
      <c r="J2" s="1"/>
      <c r="K2" s="1"/>
      <c r="L2" s="1"/>
      <c r="M2" s="1"/>
      <c r="N2" s="1"/>
      <c r="O2" s="1"/>
    </row>
    <row r="3" customFormat="false" ht="21.75" hidden="false" customHeight="true" outlineLevel="0" collapsed="false">
      <c r="A3" s="2" t="s">
        <v>0</v>
      </c>
      <c r="B3" s="2" t="s">
        <v>1</v>
      </c>
      <c r="C3" s="2" t="s">
        <v>2</v>
      </c>
      <c r="D3" s="2" t="s">
        <v>3</v>
      </c>
      <c r="E3" s="2" t="s">
        <v>4</v>
      </c>
      <c r="F3" s="2" t="s">
        <v>5</v>
      </c>
      <c r="G3" s="2" t="s">
        <v>6</v>
      </c>
      <c r="H3" s="2" t="s">
        <v>7</v>
      </c>
      <c r="I3" s="2" t="s">
        <v>8</v>
      </c>
      <c r="J3" s="2" t="s">
        <v>9</v>
      </c>
      <c r="K3" s="2" t="s">
        <v>10</v>
      </c>
      <c r="L3" s="1"/>
      <c r="M3" s="1"/>
      <c r="N3" s="1"/>
      <c r="O3" s="1"/>
    </row>
    <row r="4" customFormat="false" ht="15" hidden="false" customHeight="false" outlineLevel="0" collapsed="false">
      <c r="A4" s="3" t="s">
        <v>11</v>
      </c>
      <c r="B4" s="4" t="n">
        <v>96</v>
      </c>
      <c r="C4" s="5" t="str">
        <f aca="false">IF(B4="","Sin puntaje",IF(B4&gt;=90,"Obra maestra (90+)",IF(B4&gt;=80,"Muy bueno (80-89)",IF(B4&gt;=70,"Bueno (70-79)","Regular (&lt;70)"))))</f>
        <v>Obra maestra (90+)</v>
      </c>
      <c r="D4" s="6" t="s">
        <v>12</v>
      </c>
      <c r="E4" s="6" t="s">
        <v>13</v>
      </c>
      <c r="F4" s="6" t="s">
        <v>14</v>
      </c>
      <c r="G4" s="6" t="s">
        <v>15</v>
      </c>
      <c r="H4" s="6" t="s">
        <v>16</v>
      </c>
      <c r="I4" s="6"/>
      <c r="J4" s="7" t="str">
        <f aca="false">HYPERLINK("https://legacy.prod.metacritic.com/game/pc/half-life/details","Metacritic PC")</f>
        <v>Metacritic PC</v>
      </c>
      <c r="K4" s="6" t="s">
        <v>17</v>
      </c>
      <c r="L4" s="1"/>
      <c r="M4" s="1"/>
      <c r="N4" s="1"/>
      <c r="O4" s="1"/>
    </row>
    <row r="5" customFormat="false" ht="15" hidden="false" customHeight="false" outlineLevel="0" collapsed="false">
      <c r="A5" s="8" t="s">
        <v>18</v>
      </c>
      <c r="B5" s="9" t="n">
        <v>95</v>
      </c>
      <c r="C5" s="10" t="str">
        <f aca="false">IF(B5="","Sin puntaje",IF(B5&gt;=90,"Obra maestra (90+)",IF(B5&gt;=80,"Muy bueno (80-89)",IF(B5&gt;=70,"Bueno (70-79)","Regular (&lt;70)"))))</f>
        <v>Obra maestra (90+)</v>
      </c>
      <c r="D5" s="11" t="s">
        <v>12</v>
      </c>
      <c r="E5" s="11" t="s">
        <v>13</v>
      </c>
      <c r="F5" s="11" t="s">
        <v>19</v>
      </c>
      <c r="G5" s="11" t="s">
        <v>20</v>
      </c>
      <c r="H5" s="11" t="s">
        <v>21</v>
      </c>
      <c r="I5" s="11" t="s">
        <v>22</v>
      </c>
      <c r="J5" s="12" t="str">
        <f aca="false">HYPERLINK("https://legacy.prod.metacritic.com/browse/games/score/metascore/year/all/filtered?year_selected=2000&amp;view=detailed","Metacritic PC")</f>
        <v>Metacritic PC</v>
      </c>
      <c r="K5" s="11" t="s">
        <v>17</v>
      </c>
      <c r="L5" s="1"/>
      <c r="M5" s="1"/>
      <c r="N5" s="1"/>
      <c r="O5" s="1"/>
    </row>
    <row r="6" customFormat="false" ht="15" hidden="false" customHeight="false" outlineLevel="0" collapsed="false">
      <c r="A6" s="3" t="s">
        <v>23</v>
      </c>
      <c r="B6" s="4" t="n">
        <v>94</v>
      </c>
      <c r="C6" s="5" t="str">
        <f aca="false">IF(B6="","Sin puntaje",IF(B6&gt;=90,"Obra maestra (90+)",IF(B6&gt;=80,"Muy bueno (80-89)",IF(B6&gt;=70,"Bueno (70-79)","Regular (&lt;70)"))))</f>
        <v>Obra maestra (90+)</v>
      </c>
      <c r="D6" s="6" t="s">
        <v>12</v>
      </c>
      <c r="E6" s="6" t="s">
        <v>13</v>
      </c>
      <c r="F6" s="6" t="s">
        <v>24</v>
      </c>
      <c r="G6" s="6" t="s">
        <v>25</v>
      </c>
      <c r="H6" s="6" t="s">
        <v>16</v>
      </c>
      <c r="I6" s="6"/>
      <c r="J6" s="7" t="str">
        <f aca="false">HYPERLINK("https://www.fanatical.com/en/game/quake","Metacritic PC")</f>
        <v>Metacritic PC</v>
      </c>
      <c r="K6" s="6" t="s">
        <v>17</v>
      </c>
      <c r="L6" s="1"/>
      <c r="M6" s="1"/>
      <c r="N6" s="1"/>
      <c r="O6" s="1"/>
    </row>
    <row r="7" customFormat="false" ht="15" hidden="false" customHeight="false" outlineLevel="0" collapsed="false">
      <c r="A7" s="8" t="s">
        <v>26</v>
      </c>
      <c r="B7" s="9" t="n">
        <v>93</v>
      </c>
      <c r="C7" s="10" t="str">
        <f aca="false">IF(B7="","Sin puntaje",IF(B7&gt;=90,"Obra maestra (90+)",IF(B7&gt;=80,"Muy bueno (80-89)",IF(B7&gt;=70,"Bueno (70-79)","Regular (&lt;70)"))))</f>
        <v>Obra maestra (90+)</v>
      </c>
      <c r="D7" s="11" t="s">
        <v>12</v>
      </c>
      <c r="E7" s="11" t="s">
        <v>13</v>
      </c>
      <c r="F7" s="11" t="s">
        <v>27</v>
      </c>
      <c r="G7" s="11" t="s">
        <v>28</v>
      </c>
      <c r="H7" s="11" t="s">
        <v>21</v>
      </c>
      <c r="I7" s="11" t="s">
        <v>29</v>
      </c>
      <c r="J7" s="12" t="str">
        <f aca="false">HYPERLINK("https://mobygames.com/game/dos/monkey-island-2-lechucks-revenge","MobyGames PC · dudoso")</f>
        <v>MobyGames PC · dudoso</v>
      </c>
      <c r="K7" s="11" t="s">
        <v>30</v>
      </c>
      <c r="L7" s="1"/>
      <c r="M7" s="1"/>
      <c r="N7" s="1"/>
      <c r="O7" s="1"/>
    </row>
    <row r="8" customFormat="false" ht="23.85" hidden="false" customHeight="false" outlineLevel="0" collapsed="false">
      <c r="A8" s="3" t="s">
        <v>31</v>
      </c>
      <c r="B8" s="4" t="n">
        <v>92</v>
      </c>
      <c r="C8" s="5" t="str">
        <f aca="false">IF(B8="","Sin puntaje",IF(B8&gt;=90,"Obra maestra (90+)",IF(B8&gt;=80,"Muy bueno (80-89)",IF(B8&gt;=70,"Bueno (70-79)","Regular (&lt;70)"))))</f>
        <v>Obra maestra (90+)</v>
      </c>
      <c r="D8" s="6" t="s">
        <v>12</v>
      </c>
      <c r="E8" s="6" t="s">
        <v>13</v>
      </c>
      <c r="F8" s="6" t="s">
        <v>32</v>
      </c>
      <c r="G8" s="6" t="s">
        <v>33</v>
      </c>
      <c r="H8" s="6" t="s">
        <v>16</v>
      </c>
      <c r="I8" s="6" t="s">
        <v>34</v>
      </c>
      <c r="J8" s="7" t="str">
        <f aca="false">HYPERLINK("https://www.ivghof.info/?p=326","Metacritic PS1")</f>
        <v>Metacritic PS1</v>
      </c>
      <c r="K8" s="6" t="s">
        <v>35</v>
      </c>
      <c r="L8" s="1"/>
      <c r="M8" s="1"/>
      <c r="N8" s="1"/>
      <c r="O8" s="1"/>
    </row>
    <row r="9" customFormat="false" ht="15" hidden="false" customHeight="false" outlineLevel="0" collapsed="false">
      <c r="A9" s="8" t="s">
        <v>36</v>
      </c>
      <c r="B9" s="9" t="n">
        <v>91</v>
      </c>
      <c r="C9" s="10" t="str">
        <f aca="false">IF(B9="","Sin puntaje",IF(B9&gt;=90,"Obra maestra (90+)",IF(B9&gt;=80,"Muy bueno (80-89)",IF(B9&gt;=70,"Bueno (70-79)","Regular (&lt;70)"))))</f>
        <v>Obra maestra (90+)</v>
      </c>
      <c r="D9" s="11" t="s">
        <v>12</v>
      </c>
      <c r="E9" s="11" t="s">
        <v>13</v>
      </c>
      <c r="F9" s="11" t="s">
        <v>19</v>
      </c>
      <c r="G9" s="11" t="s">
        <v>20</v>
      </c>
      <c r="H9" s="11" t="s">
        <v>21</v>
      </c>
      <c r="I9" s="11" t="s">
        <v>22</v>
      </c>
      <c r="J9" s="12" t="str">
        <f aca="false">HYPERLINK("https://legacy.prod.metacritic.com/game/pc/baldurs-gate","Metacritic PC")</f>
        <v>Metacritic PC</v>
      </c>
      <c r="K9" s="11" t="s">
        <v>17</v>
      </c>
      <c r="L9" s="1"/>
      <c r="M9" s="1"/>
      <c r="N9" s="1"/>
      <c r="O9" s="1"/>
    </row>
    <row r="10" customFormat="false" ht="15" hidden="false" customHeight="false" outlineLevel="0" collapsed="false">
      <c r="A10" s="3" t="s">
        <v>37</v>
      </c>
      <c r="B10" s="4" t="n">
        <v>90</v>
      </c>
      <c r="C10" s="5" t="str">
        <f aca="false">IF(B10="","Sin puntaje",IF(B10&gt;=90,"Obra maestra (90+)",IF(B10&gt;=80,"Muy bueno (80-89)",IF(B10&gt;=70,"Bueno (70-79)","Regular (&lt;70)"))))</f>
        <v>Obra maestra (90+)</v>
      </c>
      <c r="D10" s="6" t="s">
        <v>12</v>
      </c>
      <c r="E10" s="6" t="s">
        <v>13</v>
      </c>
      <c r="F10" s="6" t="s">
        <v>24</v>
      </c>
      <c r="G10" s="6" t="s">
        <v>38</v>
      </c>
      <c r="H10" s="6" t="s">
        <v>16</v>
      </c>
      <c r="I10" s="6"/>
      <c r="J10" s="7" t="str">
        <f aca="false">HYPERLINK("https://legacy.prod.metacritic.com/game/pc/balatro","Metacritic PC")</f>
        <v>Metacritic PC</v>
      </c>
      <c r="K10" s="6" t="s">
        <v>17</v>
      </c>
      <c r="L10" s="1"/>
      <c r="M10" s="1"/>
      <c r="N10" s="1"/>
      <c r="O10" s="1"/>
    </row>
    <row r="11" customFormat="false" ht="15" hidden="false" customHeight="false" outlineLevel="0" collapsed="false">
      <c r="A11" s="8" t="s">
        <v>39</v>
      </c>
      <c r="B11" s="9" t="n">
        <v>89</v>
      </c>
      <c r="C11" s="10" t="str">
        <f aca="false">IF(B11="","Sin puntaje",IF(B11&gt;=90,"Obra maestra (90+)",IF(B11&gt;=80,"Muy bueno (80-89)",IF(B11&gt;=70,"Bueno (70-79)","Regular (&lt;70)"))))</f>
        <v>Muy bueno (80-89)</v>
      </c>
      <c r="D11" s="11" t="s">
        <v>12</v>
      </c>
      <c r="E11" s="11" t="s">
        <v>13</v>
      </c>
      <c r="F11" s="11" t="s">
        <v>27</v>
      </c>
      <c r="G11" s="11" t="s">
        <v>28</v>
      </c>
      <c r="H11" s="11" t="s">
        <v>21</v>
      </c>
      <c r="I11" s="11" t="s">
        <v>40</v>
      </c>
      <c r="J11" s="12" t="str">
        <f aca="false">HYPERLINK("https://www.gamersunchained.com/game/the-curse-of-monkey-island","Metacritic PC · dudoso")</f>
        <v>Metacritic PC · dudoso</v>
      </c>
      <c r="K11" s="11" t="s">
        <v>30</v>
      </c>
      <c r="L11" s="1"/>
      <c r="M11" s="1"/>
      <c r="N11" s="1"/>
      <c r="O11" s="1"/>
    </row>
    <row r="12" customFormat="false" ht="15" hidden="false" customHeight="false" outlineLevel="0" collapsed="false">
      <c r="A12" s="3" t="s">
        <v>41</v>
      </c>
      <c r="B12" s="4" t="n">
        <v>89</v>
      </c>
      <c r="C12" s="5" t="str">
        <f aca="false">IF(B12="","Sin puntaje",IF(B12&gt;=90,"Obra maestra (90+)",IF(B12&gt;=80,"Muy bueno (80-89)",IF(B12&gt;=70,"Bueno (70-79)","Regular (&lt;70)"))))</f>
        <v>Muy bueno (80-89)</v>
      </c>
      <c r="D12" s="6" t="s">
        <v>12</v>
      </c>
      <c r="E12" s="6" t="s">
        <v>13</v>
      </c>
      <c r="F12" s="6" t="s">
        <v>24</v>
      </c>
      <c r="G12" s="6" t="s">
        <v>42</v>
      </c>
      <c r="H12" s="6" t="s">
        <v>16</v>
      </c>
      <c r="I12" s="6"/>
      <c r="J12" s="7" t="str">
        <f aca="false">HYPERLINK("https://gg.deals/gb/game/quake-ii/","Metacritic PC · dudoso")</f>
        <v>Metacritic PC · dudoso</v>
      </c>
      <c r="K12" s="6" t="s">
        <v>17</v>
      </c>
      <c r="L12" s="1"/>
      <c r="M12" s="1"/>
      <c r="N12" s="1"/>
      <c r="O12" s="1"/>
    </row>
    <row r="13" customFormat="false" ht="15" hidden="false" customHeight="false" outlineLevel="0" collapsed="false">
      <c r="A13" s="8" t="s">
        <v>43</v>
      </c>
      <c r="B13" s="9" t="n">
        <v>88</v>
      </c>
      <c r="C13" s="10" t="str">
        <f aca="false">IF(B13="","Sin puntaje",IF(B13&gt;=90,"Obra maestra (90+)",IF(B13&gt;=80,"Muy bueno (80-89)",IF(B13&gt;=70,"Bueno (70-79)","Regular (&lt;70)"))))</f>
        <v>Muy bueno (80-89)</v>
      </c>
      <c r="D13" s="11" t="s">
        <v>12</v>
      </c>
      <c r="E13" s="11" t="s">
        <v>13</v>
      </c>
      <c r="F13" s="11" t="s">
        <v>24</v>
      </c>
      <c r="G13" s="11" t="s">
        <v>44</v>
      </c>
      <c r="H13" s="11" t="s">
        <v>16</v>
      </c>
      <c r="I13" s="11" t="s">
        <v>45</v>
      </c>
      <c r="J13" s="12" t="str">
        <f aca="false">HYPERLINK("https://store.steampowered.com/app/504230/Celeste/","Metacritic PC")</f>
        <v>Metacritic PC</v>
      </c>
      <c r="K13" s="11" t="s">
        <v>17</v>
      </c>
      <c r="L13" s="1"/>
      <c r="M13" s="1"/>
      <c r="N13" s="1"/>
      <c r="O13" s="1"/>
    </row>
    <row r="14" customFormat="false" ht="15" hidden="false" customHeight="false" outlineLevel="0" collapsed="false">
      <c r="A14" s="3" t="s">
        <v>46</v>
      </c>
      <c r="B14" s="4" t="n">
        <v>88</v>
      </c>
      <c r="C14" s="5" t="str">
        <f aca="false">IF(B14="","Sin puntaje",IF(B14&gt;=90,"Obra maestra (90+)",IF(B14&gt;=80,"Muy bueno (80-89)",IF(B14&gt;=70,"Bueno (70-79)","Regular (&lt;70)"))))</f>
        <v>Muy bueno (80-89)</v>
      </c>
      <c r="D14" s="6" t="s">
        <v>12</v>
      </c>
      <c r="E14" s="6" t="s">
        <v>13</v>
      </c>
      <c r="F14" s="6" t="s">
        <v>47</v>
      </c>
      <c r="G14" s="6" t="s">
        <v>48</v>
      </c>
      <c r="H14" s="6" t="s">
        <v>21</v>
      </c>
      <c r="I14" s="6" t="s">
        <v>49</v>
      </c>
      <c r="J14" s="7" t="str">
        <f aca="false">HYPERLINK("https://mobygames.com/game/heroes-of-might-and-magic-iii-the-restoration-of-erathia","MobyGames PC")</f>
        <v>MobyGames PC</v>
      </c>
      <c r="K14" s="6" t="s">
        <v>17</v>
      </c>
      <c r="L14" s="1"/>
      <c r="M14" s="1"/>
      <c r="N14" s="1"/>
      <c r="O14" s="1"/>
    </row>
    <row r="15" customFormat="false" ht="23.85" hidden="false" customHeight="false" outlineLevel="0" collapsed="false">
      <c r="A15" s="8" t="s">
        <v>50</v>
      </c>
      <c r="B15" s="9" t="n">
        <v>86</v>
      </c>
      <c r="C15" s="10" t="str">
        <f aca="false">IF(B15="","Sin puntaje",IF(B15&gt;=90,"Obra maestra (90+)",IF(B15&gt;=80,"Muy bueno (80-89)",IF(B15&gt;=70,"Bueno (70-79)","Regular (&lt;70)"))))</f>
        <v>Muy bueno (80-89)</v>
      </c>
      <c r="D15" s="11" t="s">
        <v>12</v>
      </c>
      <c r="E15" s="11" t="s">
        <v>13</v>
      </c>
      <c r="F15" s="11" t="s">
        <v>24</v>
      </c>
      <c r="G15" s="11" t="s">
        <v>51</v>
      </c>
      <c r="H15" s="11" t="s">
        <v>16</v>
      </c>
      <c r="I15" s="11"/>
      <c r="J15" s="12" t="str">
        <f aca="false">HYPERLINK("https://www.metacritic.com/game/deltarune/","Metacritic (todas las plataformas)")</f>
        <v>Metacritic (todas las plataformas)</v>
      </c>
      <c r="K15" s="11" t="s">
        <v>17</v>
      </c>
      <c r="L15" s="1"/>
      <c r="M15" s="1"/>
      <c r="N15" s="1"/>
      <c r="O15" s="1"/>
    </row>
    <row r="16" customFormat="false" ht="15" hidden="false" customHeight="false" outlineLevel="0" collapsed="false">
      <c r="A16" s="3" t="s">
        <v>52</v>
      </c>
      <c r="B16" s="4" t="n">
        <v>86</v>
      </c>
      <c r="C16" s="5" t="str">
        <f aca="false">IF(B16="","Sin puntaje",IF(B16&gt;=90,"Obra maestra (90+)",IF(B16&gt;=80,"Muy bueno (80-89)",IF(B16&gt;=70,"Bueno (70-79)","Regular (&lt;70)"))))</f>
        <v>Muy bueno (80-89)</v>
      </c>
      <c r="D16" s="6" t="s">
        <v>12</v>
      </c>
      <c r="E16" s="6" t="s">
        <v>13</v>
      </c>
      <c r="F16" s="6" t="s">
        <v>24</v>
      </c>
      <c r="G16" s="6" t="s">
        <v>53</v>
      </c>
      <c r="H16" s="6" t="s">
        <v>16</v>
      </c>
      <c r="I16" s="6"/>
      <c r="J16" s="7" t="str">
        <f aca="false">HYPERLINK("https://opencritic.com/game/13890/faith-the-unholy-trinity/charts","OpenCritic")</f>
        <v>OpenCritic</v>
      </c>
      <c r="K16" s="6" t="s">
        <v>17</v>
      </c>
      <c r="L16" s="1"/>
      <c r="M16" s="1"/>
      <c r="N16" s="1"/>
      <c r="O16" s="1"/>
    </row>
    <row r="17" customFormat="false" ht="15" hidden="false" customHeight="false" outlineLevel="0" collapsed="false">
      <c r="A17" s="8" t="s">
        <v>54</v>
      </c>
      <c r="B17" s="9" t="n">
        <v>77</v>
      </c>
      <c r="C17" s="10" t="str">
        <f aca="false">IF(B17="","Sin puntaje",IF(B17&gt;=90,"Obra maestra (90+)",IF(B17&gt;=80,"Muy bueno (80-89)",IF(B17&gt;=70,"Bueno (70-79)","Regular (&lt;70)"))))</f>
        <v>Bueno (70-79)</v>
      </c>
      <c r="D17" s="11" t="s">
        <v>12</v>
      </c>
      <c r="E17" s="11" t="s">
        <v>13</v>
      </c>
      <c r="F17" s="11" t="s">
        <v>55</v>
      </c>
      <c r="G17" s="11" t="s">
        <v>48</v>
      </c>
      <c r="H17" s="11" t="s">
        <v>21</v>
      </c>
      <c r="I17" s="11" t="s">
        <v>49</v>
      </c>
      <c r="J17" s="12" t="str">
        <f aca="false">HYPERLINK("https://en.wikipedia.org/wiki/Heroes_of_Might_and_Magic_II","GameRankings PC")</f>
        <v>GameRankings PC</v>
      </c>
      <c r="K17" s="11" t="s">
        <v>17</v>
      </c>
      <c r="L17" s="1"/>
      <c r="M17" s="1"/>
      <c r="N17" s="1"/>
      <c r="O17" s="1"/>
    </row>
    <row r="18" customFormat="false" ht="15" hidden="false" customHeight="false" outlineLevel="0" collapsed="false">
      <c r="A18" s="3" t="s">
        <v>56</v>
      </c>
      <c r="B18" s="4"/>
      <c r="C18" s="5" t="str">
        <f aca="false">IF(B18="","Sin puntaje",IF(B18&gt;=90,"Obra maestra (90+)",IF(B18&gt;=80,"Muy bueno (80-89)",IF(B18&gt;=70,"Bueno (70-79)","Regular (&lt;70)"))))</f>
        <v>Sin puntaje</v>
      </c>
      <c r="D18" s="6" t="s">
        <v>12</v>
      </c>
      <c r="E18" s="6" t="s">
        <v>13</v>
      </c>
      <c r="F18" s="6" t="s">
        <v>27</v>
      </c>
      <c r="G18" s="6" t="s">
        <v>28</v>
      </c>
      <c r="H18" s="6" t="s">
        <v>21</v>
      </c>
      <c r="I18" s="6" t="s">
        <v>29</v>
      </c>
      <c r="J18" s="13" t="s">
        <v>57</v>
      </c>
      <c r="K18" s="6" t="s">
        <v>30</v>
      </c>
      <c r="L18" s="1"/>
      <c r="M18" s="1"/>
      <c r="N18" s="1"/>
      <c r="O18" s="1"/>
    </row>
    <row r="19" customFormat="false" ht="15" hidden="false" customHeight="false" outlineLevel="0" collapsed="false">
      <c r="A19" s="8" t="s">
        <v>58</v>
      </c>
      <c r="B19" s="9"/>
      <c r="C19" s="10" t="str">
        <f aca="false">IF(B19="","Sin puntaje",IF(B19&gt;=90,"Obra maestra (90+)",IF(B19&gt;=80,"Muy bueno (80-89)",IF(B19&gt;=70,"Bueno (70-79)","Regular (&lt;70)"))))</f>
        <v>Sin puntaje</v>
      </c>
      <c r="D19" s="11" t="s">
        <v>12</v>
      </c>
      <c r="E19" s="11" t="s">
        <v>13</v>
      </c>
      <c r="F19" s="11" t="s">
        <v>24</v>
      </c>
      <c r="G19" s="11" t="s">
        <v>59</v>
      </c>
      <c r="H19" s="11" t="s">
        <v>16</v>
      </c>
      <c r="I19" s="11"/>
      <c r="J19" s="14" t="s">
        <v>57</v>
      </c>
      <c r="K19" s="11" t="s">
        <v>17</v>
      </c>
      <c r="L19" s="1"/>
      <c r="M19" s="1"/>
      <c r="N19" s="1"/>
      <c r="O19" s="1"/>
    </row>
    <row r="20" customFormat="false" ht="15" hidden="false" customHeight="false" outlineLevel="0" collapsed="false">
      <c r="A20" s="3" t="s">
        <v>60</v>
      </c>
      <c r="B20" s="4"/>
      <c r="C20" s="5" t="str">
        <f aca="false">IF(B20="","Sin puntaje",IF(B20&gt;=90,"Obra maestra (90+)",IF(B20&gt;=80,"Muy bueno (80-89)",IF(B20&gt;=70,"Bueno (70-79)","Regular (&lt;70)"))))</f>
        <v>Sin puntaje</v>
      </c>
      <c r="D20" s="6" t="s">
        <v>12</v>
      </c>
      <c r="E20" s="6" t="s">
        <v>13</v>
      </c>
      <c r="F20" s="6" t="s">
        <v>24</v>
      </c>
      <c r="G20" s="6" t="s">
        <v>61</v>
      </c>
      <c r="H20" s="6" t="s">
        <v>16</v>
      </c>
      <c r="I20" s="6"/>
      <c r="J20" s="13" t="s">
        <v>57</v>
      </c>
      <c r="K20" s="6" t="s">
        <v>17</v>
      </c>
      <c r="L20" s="1"/>
      <c r="M20" s="1"/>
      <c r="N20" s="1"/>
      <c r="O20" s="1"/>
    </row>
    <row r="21" customFormat="false" ht="23.85" hidden="false" customHeight="false" outlineLevel="0" collapsed="false">
      <c r="A21" s="8" t="s">
        <v>62</v>
      </c>
      <c r="B21" s="9"/>
      <c r="C21" s="10" t="str">
        <f aca="false">IF(B21="","Sin puntaje",IF(B21&gt;=90,"Obra maestra (90+)",IF(B21&gt;=80,"Muy bueno (80-89)",IF(B21&gt;=70,"Bueno (70-79)","Regular (&lt;70)"))))</f>
        <v>Sin puntaje</v>
      </c>
      <c r="D21" s="11" t="s">
        <v>12</v>
      </c>
      <c r="E21" s="11" t="s">
        <v>13</v>
      </c>
      <c r="F21" s="11" t="s">
        <v>63</v>
      </c>
      <c r="G21" s="11" t="s">
        <v>64</v>
      </c>
      <c r="H21" s="11" t="s">
        <v>65</v>
      </c>
      <c r="I21" s="11" t="s">
        <v>66</v>
      </c>
      <c r="J21" s="14" t="s">
        <v>57</v>
      </c>
      <c r="K21" s="11" t="s">
        <v>30</v>
      </c>
      <c r="L21" s="1"/>
      <c r="M21" s="1"/>
      <c r="N21" s="1"/>
      <c r="O21" s="1"/>
    </row>
    <row r="22" customFormat="false" ht="23.85" hidden="false" customHeight="false" outlineLevel="0" collapsed="false">
      <c r="A22" s="3" t="s">
        <v>67</v>
      </c>
      <c r="B22" s="4"/>
      <c r="C22" s="5" t="str">
        <f aca="false">IF(B22="","Sin puntaje",IF(B22&gt;=90,"Obra maestra (90+)",IF(B22&gt;=80,"Muy bueno (80-89)",IF(B22&gt;=70,"Bueno (70-79)","Regular (&lt;70)"))))</f>
        <v>Sin puntaje</v>
      </c>
      <c r="D22" s="6" t="s">
        <v>12</v>
      </c>
      <c r="E22" s="6" t="s">
        <v>13</v>
      </c>
      <c r="F22" s="6" t="s">
        <v>63</v>
      </c>
      <c r="G22" s="6" t="s">
        <v>68</v>
      </c>
      <c r="H22" s="6" t="s">
        <v>65</v>
      </c>
      <c r="I22" s="6" t="s">
        <v>69</v>
      </c>
      <c r="J22" s="13" t="s">
        <v>57</v>
      </c>
      <c r="K22" s="6" t="s">
        <v>30</v>
      </c>
      <c r="L22" s="1"/>
      <c r="M22" s="1"/>
      <c r="N22" s="1"/>
      <c r="O22" s="1"/>
    </row>
    <row r="23" customFormat="false" ht="15" hidden="false" customHeight="false" outlineLevel="0" collapsed="false">
      <c r="A23" s="8" t="s">
        <v>70</v>
      </c>
      <c r="B23" s="9"/>
      <c r="C23" s="10" t="str">
        <f aca="false">IF(B23="","Sin puntaje",IF(B23&gt;=90,"Obra maestra (90+)",IF(B23&gt;=80,"Muy bueno (80-89)",IF(B23&gt;=70,"Bueno (70-79)","Regular (&lt;70)"))))</f>
        <v>Sin puntaje</v>
      </c>
      <c r="D23" s="11" t="s">
        <v>12</v>
      </c>
      <c r="E23" s="11" t="s">
        <v>13</v>
      </c>
      <c r="F23" s="11" t="s">
        <v>71</v>
      </c>
      <c r="G23" s="11" t="s">
        <v>68</v>
      </c>
      <c r="H23" s="11" t="s">
        <v>72</v>
      </c>
      <c r="I23" s="11"/>
      <c r="J23" s="14" t="s">
        <v>57</v>
      </c>
      <c r="K23" s="11" t="s">
        <v>17</v>
      </c>
      <c r="L23" s="1"/>
      <c r="M23" s="1"/>
      <c r="N23" s="1"/>
      <c r="O23" s="1"/>
    </row>
    <row r="24" customFormat="false" ht="15" hidden="false" customHeight="false" outlineLevel="0" collapsed="false">
      <c r="A24" s="3" t="s">
        <v>73</v>
      </c>
      <c r="B24" s="4"/>
      <c r="C24" s="5" t="str">
        <f aca="false">IF(B24="","Sin puntaje",IF(B24&gt;=90,"Obra maestra (90+)",IF(B24&gt;=80,"Muy bueno (80-89)",IF(B24&gt;=70,"Bueno (70-79)","Regular (&lt;70)"))))</f>
        <v>Sin puntaje</v>
      </c>
      <c r="D24" s="6" t="s">
        <v>12</v>
      </c>
      <c r="E24" s="6" t="s">
        <v>13</v>
      </c>
      <c r="F24" s="6" t="s">
        <v>63</v>
      </c>
      <c r="G24" s="6" t="s">
        <v>48</v>
      </c>
      <c r="H24" s="6" t="s">
        <v>21</v>
      </c>
      <c r="I24" s="6" t="s">
        <v>74</v>
      </c>
      <c r="J24" s="13" t="s">
        <v>57</v>
      </c>
      <c r="K24" s="6" t="s">
        <v>30</v>
      </c>
      <c r="L24" s="1"/>
      <c r="M24" s="1"/>
      <c r="N24" s="1"/>
      <c r="O24" s="1"/>
    </row>
    <row r="25" customFormat="false" ht="15" hidden="false" customHeight="false" outlineLevel="0" collapsed="false">
      <c r="A25" s="8" t="s">
        <v>75</v>
      </c>
      <c r="B25" s="9"/>
      <c r="C25" s="10" t="str">
        <f aca="false">IF(B25="","Sin puntaje",IF(B25&gt;=90,"Obra maestra (90+)",IF(B25&gt;=80,"Muy bueno (80-89)",IF(B25&gt;=70,"Bueno (70-79)","Regular (&lt;70)"))))</f>
        <v>Sin puntaje</v>
      </c>
      <c r="D25" s="11" t="s">
        <v>12</v>
      </c>
      <c r="E25" s="11" t="s">
        <v>13</v>
      </c>
      <c r="F25" s="11" t="s">
        <v>24</v>
      </c>
      <c r="G25" s="11" t="s">
        <v>61</v>
      </c>
      <c r="H25" s="11" t="s">
        <v>21</v>
      </c>
      <c r="I25" s="11" t="s">
        <v>74</v>
      </c>
      <c r="J25" s="14" t="s">
        <v>57</v>
      </c>
      <c r="K25" s="11" t="s">
        <v>17</v>
      </c>
      <c r="L25" s="1"/>
      <c r="M25" s="1"/>
      <c r="N25" s="1"/>
      <c r="O25" s="1"/>
    </row>
    <row r="26" customFormat="false" ht="15" hidden="false" customHeight="false" outlineLevel="0" collapsed="false">
      <c r="A26" s="3" t="s">
        <v>76</v>
      </c>
      <c r="B26" s="4"/>
      <c r="C26" s="5" t="str">
        <f aca="false">IF(B26="","Sin puntaje",IF(B26&gt;=90,"Obra maestra (90+)",IF(B26&gt;=80,"Muy bueno (80-89)",IF(B26&gt;=70,"Bueno (70-79)","Regular (&lt;70)"))))</f>
        <v>Sin puntaje</v>
      </c>
      <c r="D26" s="6" t="s">
        <v>12</v>
      </c>
      <c r="E26" s="6" t="s">
        <v>13</v>
      </c>
      <c r="F26" s="6" t="s">
        <v>24</v>
      </c>
      <c r="G26" s="6" t="s">
        <v>61</v>
      </c>
      <c r="H26" s="6" t="s">
        <v>21</v>
      </c>
      <c r="I26" s="6" t="s">
        <v>74</v>
      </c>
      <c r="J26" s="13" t="s">
        <v>57</v>
      </c>
      <c r="K26" s="6" t="s">
        <v>17</v>
      </c>
      <c r="L26" s="1"/>
      <c r="M26" s="1"/>
      <c r="N26" s="1"/>
      <c r="O26" s="1"/>
    </row>
    <row r="27" customFormat="false" ht="15" hidden="false" customHeight="false" outlineLevel="0" collapsed="false">
      <c r="A27" s="8" t="s">
        <v>77</v>
      </c>
      <c r="B27" s="9"/>
      <c r="C27" s="10" t="str">
        <f aca="false">IF(B27="","Sin puntaje",IF(B27&gt;=90,"Obra maestra (90+)",IF(B27&gt;=80,"Muy bueno (80-89)",IF(B27&gt;=70,"Bueno (70-79)","Regular (&lt;70)"))))</f>
        <v>Sin puntaje</v>
      </c>
      <c r="D27" s="11" t="s">
        <v>12</v>
      </c>
      <c r="E27" s="11" t="s">
        <v>13</v>
      </c>
      <c r="F27" s="11" t="s">
        <v>24</v>
      </c>
      <c r="G27" s="11" t="s">
        <v>61</v>
      </c>
      <c r="H27" s="11" t="s">
        <v>21</v>
      </c>
      <c r="I27" s="11" t="s">
        <v>74</v>
      </c>
      <c r="J27" s="14" t="s">
        <v>57</v>
      </c>
      <c r="K27" s="11" t="s">
        <v>17</v>
      </c>
      <c r="L27" s="1"/>
      <c r="M27" s="1"/>
      <c r="N27" s="1"/>
      <c r="O27" s="1"/>
    </row>
    <row r="28" customFormat="false" ht="15" hidden="false" customHeight="false" outlineLevel="0" collapsed="false">
      <c r="A28" s="3" t="s">
        <v>78</v>
      </c>
      <c r="B28" s="4"/>
      <c r="C28" s="5" t="str">
        <f aca="false">IF(B28="","Sin puntaje",IF(B28&gt;=90,"Obra maestra (90+)",IF(B28&gt;=80,"Muy bueno (80-89)",IF(B28&gt;=70,"Bueno (70-79)","Regular (&lt;70)"))))</f>
        <v>Sin puntaje</v>
      </c>
      <c r="D28" s="6" t="s">
        <v>12</v>
      </c>
      <c r="E28" s="6" t="s">
        <v>13</v>
      </c>
      <c r="F28" s="6" t="s">
        <v>24</v>
      </c>
      <c r="G28" s="6" t="s">
        <v>61</v>
      </c>
      <c r="H28" s="6" t="s">
        <v>16</v>
      </c>
      <c r="I28" s="6" t="s">
        <v>79</v>
      </c>
      <c r="J28" s="13" t="s">
        <v>57</v>
      </c>
      <c r="K28" s="6" t="s">
        <v>17</v>
      </c>
      <c r="L28" s="1"/>
      <c r="M28" s="1"/>
      <c r="N28" s="1"/>
      <c r="O28" s="1"/>
    </row>
    <row r="29" customFormat="false" ht="15" hidden="false" customHeight="false" outlineLevel="0" collapsed="false">
      <c r="A29" s="8" t="s">
        <v>80</v>
      </c>
      <c r="B29" s="9" t="n">
        <v>93</v>
      </c>
      <c r="C29" s="10" t="str">
        <f aca="false">IF(B29="","Sin puntaje",IF(B29&gt;=90,"Obra maestra (90+)",IF(B29&gt;=80,"Muy bueno (80-89)",IF(B29&gt;=70,"Bueno (70-79)","Regular (&lt;70)"))))</f>
        <v>Obra maestra (90+)</v>
      </c>
      <c r="D29" s="11" t="s">
        <v>12</v>
      </c>
      <c r="E29" s="11" t="s">
        <v>81</v>
      </c>
      <c r="F29" s="11" t="s">
        <v>24</v>
      </c>
      <c r="G29" s="11" t="s">
        <v>82</v>
      </c>
      <c r="H29" s="11" t="s">
        <v>16</v>
      </c>
      <c r="I29" s="11" t="s">
        <v>83</v>
      </c>
      <c r="J29" s="12" t="str">
        <f aca="false">HYPERLINK("https://www.guinnessworldrecords.com/world-records/99373-first-cross-platform-shooter","Metacritic Dreamcast")</f>
        <v>Metacritic Dreamcast</v>
      </c>
      <c r="K29" s="11" t="s">
        <v>17</v>
      </c>
      <c r="L29" s="1"/>
      <c r="M29" s="1"/>
      <c r="N29" s="1"/>
      <c r="O29" s="1"/>
    </row>
    <row r="30" customFormat="false" ht="15" hidden="false" customHeight="false" outlineLevel="0" collapsed="false">
      <c r="A30" s="3" t="s">
        <v>84</v>
      </c>
      <c r="B30" s="4" t="n">
        <v>93</v>
      </c>
      <c r="C30" s="5" t="str">
        <f aca="false">IF(B30="","Sin puntaje",IF(B30&gt;=90,"Obra maestra (90+)",IF(B30&gt;=80,"Muy bueno (80-89)",IF(B30&gt;=70,"Bueno (70-79)","Regular (&lt;70)"))))</f>
        <v>Obra maestra (90+)</v>
      </c>
      <c r="D30" s="6" t="s">
        <v>12</v>
      </c>
      <c r="E30" s="6" t="s">
        <v>81</v>
      </c>
      <c r="F30" s="6" t="s">
        <v>24</v>
      </c>
      <c r="G30" s="6" t="s">
        <v>85</v>
      </c>
      <c r="H30" s="6" t="s">
        <v>72</v>
      </c>
      <c r="I30" s="6" t="s">
        <v>86</v>
      </c>
      <c r="J30" s="7" t="str">
        <f aca="false">HYPERLINK("https://game8.co/articles/games/minecraft","Metacritic PC")</f>
        <v>Metacritic PC</v>
      </c>
      <c r="K30" s="6" t="s">
        <v>17</v>
      </c>
      <c r="L30" s="1"/>
      <c r="M30" s="1"/>
      <c r="N30" s="1"/>
      <c r="O30" s="1"/>
    </row>
    <row r="31" customFormat="false" ht="15" hidden="false" customHeight="false" outlineLevel="0" collapsed="false">
      <c r="A31" s="8" t="s">
        <v>87</v>
      </c>
      <c r="B31" s="9" t="n">
        <v>89</v>
      </c>
      <c r="C31" s="10" t="str">
        <f aca="false">IF(B31="","Sin puntaje",IF(B31&gt;=90,"Obra maestra (90+)",IF(B31&gt;=80,"Muy bueno (80-89)",IF(B31&gt;=70,"Bueno (70-79)","Regular (&lt;70)"))))</f>
        <v>Muy bueno (80-89)</v>
      </c>
      <c r="D31" s="11" t="s">
        <v>12</v>
      </c>
      <c r="E31" s="11" t="s">
        <v>81</v>
      </c>
      <c r="F31" s="11" t="s">
        <v>24</v>
      </c>
      <c r="G31" s="11" t="s">
        <v>53</v>
      </c>
      <c r="H31" s="11" t="s">
        <v>16</v>
      </c>
      <c r="I31" s="11" t="s">
        <v>88</v>
      </c>
      <c r="J31" s="12" t="str">
        <f aca="false">HYPERLINK("https://everythingedinburgh.com/games/gaming/best-indie-games/","Metacritic PC")</f>
        <v>Metacritic PC</v>
      </c>
      <c r="K31" s="11" t="s">
        <v>17</v>
      </c>
      <c r="L31" s="1"/>
      <c r="M31" s="1"/>
      <c r="N31" s="1"/>
      <c r="O31" s="1"/>
    </row>
    <row r="32" customFormat="false" ht="15" hidden="false" customHeight="false" outlineLevel="0" collapsed="false">
      <c r="A32" s="3" t="s">
        <v>89</v>
      </c>
      <c r="B32" s="4" t="n">
        <v>89</v>
      </c>
      <c r="C32" s="5" t="str">
        <f aca="false">IF(B32="","Sin puntaje",IF(B32&gt;=90,"Obra maestra (90+)",IF(B32&gt;=80,"Muy bueno (80-89)",IF(B32&gt;=70,"Bueno (70-79)","Regular (&lt;70)"))))</f>
        <v>Muy bueno (80-89)</v>
      </c>
      <c r="D32" s="6" t="s">
        <v>12</v>
      </c>
      <c r="E32" s="6" t="s">
        <v>81</v>
      </c>
      <c r="F32" s="6" t="s">
        <v>90</v>
      </c>
      <c r="G32" s="6" t="s">
        <v>91</v>
      </c>
      <c r="H32" s="6" t="s">
        <v>72</v>
      </c>
      <c r="I32" s="6" t="s">
        <v>92</v>
      </c>
      <c r="J32" s="7" t="str">
        <f aca="false">HYPERLINK("https://everythingedinburgh.com/games/gaming/best-elder-scrolls-games/","Metacritic PC")</f>
        <v>Metacritic PC</v>
      </c>
      <c r="K32" s="6" t="s">
        <v>17</v>
      </c>
      <c r="L32" s="1"/>
      <c r="M32" s="1"/>
      <c r="N32" s="1"/>
      <c r="O32" s="1"/>
    </row>
    <row r="33" customFormat="false" ht="15" hidden="false" customHeight="false" outlineLevel="0" collapsed="false">
      <c r="A33" s="8" t="s">
        <v>93</v>
      </c>
      <c r="B33" s="9" t="n">
        <v>86</v>
      </c>
      <c r="C33" s="10" t="str">
        <f aca="false">IF(B33="","Sin puntaje",IF(B33&gt;=90,"Obra maestra (90+)",IF(B33&gt;=80,"Muy bueno (80-89)",IF(B33&gt;=70,"Bueno (70-79)","Regular (&lt;70)"))))</f>
        <v>Muy bueno (80-89)</v>
      </c>
      <c r="D33" s="11" t="s">
        <v>12</v>
      </c>
      <c r="E33" s="11" t="s">
        <v>81</v>
      </c>
      <c r="F33" s="11" t="s">
        <v>94</v>
      </c>
      <c r="G33" s="11" t="s">
        <v>28</v>
      </c>
      <c r="H33" s="11" t="s">
        <v>21</v>
      </c>
      <c r="I33" s="11" t="s">
        <v>95</v>
      </c>
      <c r="J33" s="12" t="str">
        <f aca="false">HYPERLINK("https://gg.deals/ca/game/escape-from-monkey-island/","Metacritic PC")</f>
        <v>Metacritic PC</v>
      </c>
      <c r="K33" s="11" t="s">
        <v>30</v>
      </c>
      <c r="L33" s="1"/>
      <c r="M33" s="1"/>
      <c r="N33" s="1"/>
      <c r="O33" s="1"/>
    </row>
    <row r="34" customFormat="false" ht="23.85" hidden="false" customHeight="false" outlineLevel="0" collapsed="false">
      <c r="A34" s="3" t="s">
        <v>96</v>
      </c>
      <c r="B34" s="4" t="n">
        <v>82</v>
      </c>
      <c r="C34" s="5" t="str">
        <f aca="false">IF(B34="","Sin puntaje",IF(B34&gt;=90,"Obra maestra (90+)",IF(B34&gt;=80,"Muy bueno (80-89)",IF(B34&gt;=70,"Bueno (70-79)","Regular (&lt;70)"))))</f>
        <v>Muy bueno (80-89)</v>
      </c>
      <c r="D34" s="6" t="s">
        <v>12</v>
      </c>
      <c r="E34" s="6" t="s">
        <v>81</v>
      </c>
      <c r="F34" s="6" t="s">
        <v>63</v>
      </c>
      <c r="G34" s="6" t="s">
        <v>64</v>
      </c>
      <c r="H34" s="6" t="s">
        <v>65</v>
      </c>
      <c r="I34" s="6" t="s">
        <v>97</v>
      </c>
      <c r="J34" s="7" t="str">
        <f aca="false">HYPERLINK("https://insider-gaming.com/all-skyrim-games-ranked-worst-to-best/","Metacritic PC · dudoso")</f>
        <v>Metacritic PC · dudoso</v>
      </c>
      <c r="K34" s="6" t="s">
        <v>30</v>
      </c>
      <c r="L34" s="1"/>
      <c r="M34" s="1"/>
      <c r="N34" s="1"/>
      <c r="O34" s="1"/>
    </row>
    <row r="35" customFormat="false" ht="15" hidden="false" customHeight="false" outlineLevel="0" collapsed="false">
      <c r="A35" s="8" t="s">
        <v>98</v>
      </c>
      <c r="B35" s="9"/>
      <c r="C35" s="10" t="str">
        <f aca="false">IF(B35="","Sin puntaje",IF(B35&gt;=90,"Obra maestra (90+)",IF(B35&gt;=80,"Muy bueno (80-89)",IF(B35&gt;=70,"Bueno (70-79)","Regular (&lt;70)"))))</f>
        <v>Sin puntaje</v>
      </c>
      <c r="D35" s="11" t="s">
        <v>12</v>
      </c>
      <c r="E35" s="11" t="s">
        <v>81</v>
      </c>
      <c r="F35" s="11" t="s">
        <v>24</v>
      </c>
      <c r="G35" s="11" t="s">
        <v>61</v>
      </c>
      <c r="H35" s="11" t="s">
        <v>16</v>
      </c>
      <c r="I35" s="11" t="s">
        <v>99</v>
      </c>
      <c r="J35" s="14" t="s">
        <v>57</v>
      </c>
      <c r="K35" s="11" t="s">
        <v>17</v>
      </c>
      <c r="L35" s="1"/>
      <c r="M35" s="1"/>
      <c r="N35" s="1"/>
      <c r="O35" s="1"/>
    </row>
    <row r="36" customFormat="false" ht="23.85" hidden="false" customHeight="false" outlineLevel="0" collapsed="false">
      <c r="A36" s="3" t="s">
        <v>100</v>
      </c>
      <c r="B36" s="4"/>
      <c r="C36" s="5" t="str">
        <f aca="false">IF(B36="","Sin puntaje",IF(B36&gt;=90,"Obra maestra (90+)",IF(B36&gt;=80,"Muy bueno (80-89)",IF(B36&gt;=70,"Bueno (70-79)","Regular (&lt;70)"))))</f>
        <v>Sin puntaje</v>
      </c>
      <c r="D36" s="6" t="s">
        <v>12</v>
      </c>
      <c r="E36" s="6" t="s">
        <v>81</v>
      </c>
      <c r="F36" s="6" t="s">
        <v>24</v>
      </c>
      <c r="G36" s="6" t="s">
        <v>61</v>
      </c>
      <c r="H36" s="6" t="s">
        <v>21</v>
      </c>
      <c r="I36" s="6" t="s">
        <v>101</v>
      </c>
      <c r="J36" s="13" t="s">
        <v>57</v>
      </c>
      <c r="K36" s="6" t="s">
        <v>17</v>
      </c>
      <c r="L36" s="1"/>
      <c r="M36" s="1"/>
      <c r="N36" s="1"/>
      <c r="O36" s="1"/>
    </row>
    <row r="37" customFormat="false" ht="23.85" hidden="false" customHeight="false" outlineLevel="0" collapsed="false">
      <c r="A37" s="8" t="s">
        <v>102</v>
      </c>
      <c r="B37" s="9" t="n">
        <v>93</v>
      </c>
      <c r="C37" s="10" t="str">
        <f aca="false">IF(B37="","Sin puntaje",IF(B37&gt;=90,"Obra maestra (90+)",IF(B37&gt;=80,"Muy bueno (80-89)",IF(B37&gt;=70,"Bueno (70-79)","Regular (&lt;70)"))))</f>
        <v>Obra maestra (90+)</v>
      </c>
      <c r="D37" s="11" t="s">
        <v>12</v>
      </c>
      <c r="E37" s="11" t="s">
        <v>103</v>
      </c>
      <c r="F37" s="11" t="s">
        <v>104</v>
      </c>
      <c r="G37" s="11" t="s">
        <v>105</v>
      </c>
      <c r="H37" s="11" t="s">
        <v>16</v>
      </c>
      <c r="I37" s="11" t="s">
        <v>106</v>
      </c>
      <c r="J37" s="12" t="str">
        <f aca="false">HYPERLINK("https://www.guinnessworldrecords.com/world-records/413071-most-critically-acclaimed-star-wars-videogame","Metacritic PC")</f>
        <v>Metacritic PC</v>
      </c>
      <c r="K37" s="11" t="s">
        <v>107</v>
      </c>
      <c r="L37" s="1"/>
      <c r="M37" s="1"/>
      <c r="N37" s="1"/>
      <c r="O37" s="1"/>
    </row>
    <row r="38" customFormat="false" ht="23.85" hidden="false" customHeight="false" outlineLevel="0" collapsed="false">
      <c r="A38" s="3" t="s">
        <v>108</v>
      </c>
      <c r="B38" s="4" t="n">
        <v>86</v>
      </c>
      <c r="C38" s="5" t="str">
        <f aca="false">IF(B38="","Sin puntaje",IF(B38&gt;=90,"Obra maestra (90+)",IF(B38&gt;=80,"Muy bueno (80-89)",IF(B38&gt;=70,"Bueno (70-79)","Regular (&lt;70)"))))</f>
        <v>Muy bueno (80-89)</v>
      </c>
      <c r="D38" s="6" t="s">
        <v>12</v>
      </c>
      <c r="E38" s="6" t="s">
        <v>103</v>
      </c>
      <c r="F38" s="6" t="s">
        <v>109</v>
      </c>
      <c r="G38" s="6" t="s">
        <v>48</v>
      </c>
      <c r="H38" s="6" t="s">
        <v>16</v>
      </c>
      <c r="I38" s="6" t="s">
        <v>110</v>
      </c>
      <c r="J38" s="7" t="str">
        <f aca="false">HYPERLINK("https://gocdkeys.com/blog/best-pixel-art-games-pc","Metacritic PC")</f>
        <v>Metacritic PC</v>
      </c>
      <c r="K38" s="6" t="s">
        <v>30</v>
      </c>
      <c r="L38" s="1"/>
      <c r="M38" s="1"/>
      <c r="N38" s="1"/>
      <c r="O38" s="1"/>
    </row>
    <row r="39" customFormat="false" ht="23.85" hidden="false" customHeight="false" outlineLevel="0" collapsed="false">
      <c r="A39" s="8" t="s">
        <v>111</v>
      </c>
      <c r="B39" s="9" t="n">
        <v>86</v>
      </c>
      <c r="C39" s="10" t="str">
        <f aca="false">IF(B39="","Sin puntaje",IF(B39&gt;=90,"Obra maestra (90+)",IF(B39&gt;=80,"Muy bueno (80-89)",IF(B39&gt;=70,"Bueno (70-79)","Regular (&lt;70)"))))</f>
        <v>Muy bueno (80-89)</v>
      </c>
      <c r="D39" s="11" t="s">
        <v>12</v>
      </c>
      <c r="E39" s="11" t="s">
        <v>103</v>
      </c>
      <c r="F39" s="11" t="s">
        <v>112</v>
      </c>
      <c r="G39" s="11" t="s">
        <v>105</v>
      </c>
      <c r="H39" s="11" t="s">
        <v>16</v>
      </c>
      <c r="I39" s="11" t="s">
        <v>113</v>
      </c>
      <c r="J39" s="12" t="str">
        <f aca="false">HYPERLINK("https://www.keengamer.com/articles/features/6-of-the-best-star-wars-games-based-on-aggregated-metacritic-scores/","Metacritic (plataforma sin especificar) · dudoso")</f>
        <v>Metacritic (plataforma sin especificar) · dudoso</v>
      </c>
      <c r="K39" s="11" t="s">
        <v>107</v>
      </c>
      <c r="L39" s="1"/>
      <c r="M39" s="1"/>
      <c r="N39" s="1"/>
      <c r="O39" s="1"/>
    </row>
    <row r="40" customFormat="false" ht="15" hidden="false" customHeight="false" outlineLevel="0" collapsed="false">
      <c r="A40" s="3" t="s">
        <v>114</v>
      </c>
      <c r="B40" s="4" t="n">
        <v>94</v>
      </c>
      <c r="C40" s="5" t="str">
        <f aca="false">IF(B40="","Sin puntaje",IF(B40&gt;=90,"Obra maestra (90+)",IF(B40&gt;=80,"Muy bueno (80-89)",IF(B40&gt;=70,"Bueno (70-79)","Regular (&lt;70)"))))</f>
        <v>Obra maestra (90+)</v>
      </c>
      <c r="D40" s="6" t="s">
        <v>12</v>
      </c>
      <c r="E40" s="6" t="s">
        <v>115</v>
      </c>
      <c r="F40" s="6" t="s">
        <v>116</v>
      </c>
      <c r="G40" s="6" t="s">
        <v>117</v>
      </c>
      <c r="H40" s="6" t="s">
        <v>117</v>
      </c>
      <c r="I40" s="6" t="s">
        <v>118</v>
      </c>
      <c r="J40" s="7" t="str">
        <f aca="false">HYPERLINK("https://Www.Wikipedia.org/wiki/Eternal_War","Metacritic PC")</f>
        <v>Metacritic PC</v>
      </c>
      <c r="K40" s="6" t="s">
        <v>30</v>
      </c>
      <c r="L40" s="1"/>
      <c r="M40" s="1"/>
      <c r="N40" s="1"/>
      <c r="O40" s="1"/>
    </row>
    <row r="41" customFormat="false" ht="15" hidden="false" customHeight="false" outlineLevel="0" collapsed="false">
      <c r="A41" s="8" t="s">
        <v>119</v>
      </c>
      <c r="B41" s="9" t="n">
        <v>94</v>
      </c>
      <c r="C41" s="10" t="str">
        <f aca="false">IF(B41="","Sin puntaje",IF(B41&gt;=90,"Obra maestra (90+)",IF(B41&gt;=80,"Muy bueno (80-89)",IF(B41&gt;=70,"Bueno (70-79)","Regular (&lt;70)"))))</f>
        <v>Obra maestra (90+)</v>
      </c>
      <c r="D41" s="11" t="s">
        <v>12</v>
      </c>
      <c r="E41" s="11" t="s">
        <v>115</v>
      </c>
      <c r="F41" s="11" t="s">
        <v>116</v>
      </c>
      <c r="G41" s="11" t="s">
        <v>117</v>
      </c>
      <c r="H41" s="11" t="s">
        <v>117</v>
      </c>
      <c r="I41" s="11" t="s">
        <v>120</v>
      </c>
      <c r="J41" s="12" t="str">
        <f aca="false">HYPERLINK("https://www.everyeye.it/notizie/qual-miglior-gioco-devil-may-cry-599737.html","Metacritic PS2")</f>
        <v>Metacritic PS2</v>
      </c>
      <c r="K41" s="11" t="s">
        <v>30</v>
      </c>
      <c r="L41" s="1"/>
      <c r="M41" s="1"/>
      <c r="N41" s="1"/>
      <c r="O41" s="1"/>
    </row>
    <row r="42" customFormat="false" ht="15" hidden="false" customHeight="false" outlineLevel="0" collapsed="false">
      <c r="A42" s="3" t="s">
        <v>121</v>
      </c>
      <c r="B42" s="4" t="n">
        <v>93</v>
      </c>
      <c r="C42" s="5" t="str">
        <f aca="false">IF(B42="","Sin puntaje",IF(B42&gt;=90,"Obra maestra (90+)",IF(B42&gt;=80,"Muy bueno (80-89)",IF(B42&gt;=70,"Bueno (70-79)","Regular (&lt;70)"))))</f>
        <v>Obra maestra (90+)</v>
      </c>
      <c r="D42" s="6" t="s">
        <v>12</v>
      </c>
      <c r="E42" s="6" t="s">
        <v>115</v>
      </c>
      <c r="F42" s="6" t="s">
        <v>116</v>
      </c>
      <c r="G42" s="6" t="s">
        <v>117</v>
      </c>
      <c r="H42" s="6" t="s">
        <v>117</v>
      </c>
      <c r="I42" s="6" t="s">
        <v>122</v>
      </c>
      <c r="J42" s="7" t="str">
        <f aca="false">HYPERLINK("https://legacy.prod.metacritic.com/game/pc/dwarf-fortress","Metacritic PC")</f>
        <v>Metacritic PC</v>
      </c>
      <c r="K42" s="6" t="s">
        <v>30</v>
      </c>
      <c r="L42" s="1"/>
      <c r="M42" s="1"/>
      <c r="N42" s="1"/>
      <c r="O42" s="1"/>
    </row>
    <row r="43" customFormat="false" ht="15" hidden="false" customHeight="false" outlineLevel="0" collapsed="false">
      <c r="A43" s="8" t="s">
        <v>123</v>
      </c>
      <c r="B43" s="9" t="n">
        <v>93</v>
      </c>
      <c r="C43" s="10" t="str">
        <f aca="false">IF(B43="","Sin puntaje",IF(B43&gt;=90,"Obra maestra (90+)",IF(B43&gt;=80,"Muy bueno (80-89)",IF(B43&gt;=70,"Bueno (70-79)","Regular (&lt;70)"))))</f>
        <v>Obra maestra (90+)</v>
      </c>
      <c r="D43" s="11" t="s">
        <v>12</v>
      </c>
      <c r="E43" s="11" t="s">
        <v>115</v>
      </c>
      <c r="F43" s="11" t="s">
        <v>116</v>
      </c>
      <c r="G43" s="11" t="s">
        <v>117</v>
      </c>
      <c r="H43" s="11" t="s">
        <v>117</v>
      </c>
      <c r="I43" s="11" t="s">
        <v>124</v>
      </c>
      <c r="J43" s="12" t="str">
        <f aca="false">HYPERLINK("https://www.christianpost.com/trends/divinity-original-sin-2-reviews-new-role-playing-game-earns-top-marks.html","Metacritic PC")</f>
        <v>Metacritic PC</v>
      </c>
      <c r="K43" s="11" t="s">
        <v>30</v>
      </c>
      <c r="L43" s="1"/>
      <c r="M43" s="1"/>
      <c r="N43" s="1"/>
      <c r="O43" s="1"/>
    </row>
    <row r="44" customFormat="false" ht="15" hidden="false" customHeight="false" outlineLevel="0" collapsed="false">
      <c r="A44" s="3" t="s">
        <v>125</v>
      </c>
      <c r="B44" s="4" t="n">
        <v>87</v>
      </c>
      <c r="C44" s="5" t="str">
        <f aca="false">IF(B44="","Sin puntaje",IF(B44&gt;=90,"Obra maestra (90+)",IF(B44&gt;=80,"Muy bueno (80-89)",IF(B44&gt;=70,"Bueno (70-79)","Regular (&lt;70)"))))</f>
        <v>Muy bueno (80-89)</v>
      </c>
      <c r="D44" s="6" t="s">
        <v>12</v>
      </c>
      <c r="E44" s="6" t="s">
        <v>115</v>
      </c>
      <c r="F44" s="6" t="s">
        <v>116</v>
      </c>
      <c r="G44" s="6" t="s">
        <v>117</v>
      </c>
      <c r="H44" s="6" t="s">
        <v>117</v>
      </c>
      <c r="I44" s="6" t="s">
        <v>126</v>
      </c>
      <c r="J44" s="7" t="str">
        <f aca="false">HYPERLINK("https://hollowknight.wiki/w/Hollow_Knight_(game)","Metacritic PC")</f>
        <v>Metacritic PC</v>
      </c>
      <c r="K44" s="6" t="s">
        <v>30</v>
      </c>
      <c r="L44" s="1"/>
      <c r="M44" s="1"/>
      <c r="N44" s="1"/>
      <c r="O44" s="1"/>
    </row>
    <row r="45" customFormat="false" ht="15" hidden="false" customHeight="false" outlineLevel="0" collapsed="false">
      <c r="A45" s="8" t="s">
        <v>127</v>
      </c>
      <c r="B45" s="9" t="n">
        <v>87</v>
      </c>
      <c r="C45" s="10" t="str">
        <f aca="false">IF(B45="","Sin puntaje",IF(B45&gt;=90,"Obra maestra (90+)",IF(B45&gt;=80,"Muy bueno (80-89)",IF(B45&gt;=70,"Bueno (70-79)","Regular (&lt;70)"))))</f>
        <v>Muy bueno (80-89)</v>
      </c>
      <c r="D45" s="11" t="s">
        <v>12</v>
      </c>
      <c r="E45" s="11" t="s">
        <v>115</v>
      </c>
      <c r="F45" s="11" t="s">
        <v>116</v>
      </c>
      <c r="G45" s="11" t="s">
        <v>117</v>
      </c>
      <c r="H45" s="11" t="s">
        <v>117</v>
      </c>
      <c r="I45" s="11" t="s">
        <v>124</v>
      </c>
      <c r="J45" s="12" t="str">
        <f aca="false">HYPERLINK("https://ensigame.com/games/series/1407","Metacritic PC")</f>
        <v>Metacritic PC</v>
      </c>
      <c r="K45" s="11" t="s">
        <v>30</v>
      </c>
      <c r="L45" s="1"/>
      <c r="M45" s="1"/>
      <c r="N45" s="1"/>
      <c r="O45" s="1"/>
    </row>
    <row r="46" customFormat="false" ht="15" hidden="false" customHeight="false" outlineLevel="0" collapsed="false">
      <c r="A46" s="3" t="s">
        <v>128</v>
      </c>
      <c r="B46" s="4" t="n">
        <v>87</v>
      </c>
      <c r="C46" s="5" t="str">
        <f aca="false">IF(B46="","Sin puntaje",IF(B46&gt;=90,"Obra maestra (90+)",IF(B46&gt;=80,"Muy bueno (80-89)",IF(B46&gt;=70,"Bueno (70-79)","Regular (&lt;70)"))))</f>
        <v>Muy bueno (80-89)</v>
      </c>
      <c r="D46" s="6" t="s">
        <v>12</v>
      </c>
      <c r="E46" s="6" t="s">
        <v>115</v>
      </c>
      <c r="F46" s="6" t="s">
        <v>116</v>
      </c>
      <c r="G46" s="6" t="s">
        <v>117</v>
      </c>
      <c r="H46" s="6" t="s">
        <v>117</v>
      </c>
      <c r="I46" s="6" t="s">
        <v>129</v>
      </c>
      <c r="J46" s="7" t="str">
        <f aca="false">HYPERLINK("https://www.mydealz.de/deals/return-to-monkey-island-058eur-metacritic-87-steam-key-gog-direkt-bei-steam-fur-735eur-pc-mac-linux-2804223","Metacritic PC")</f>
        <v>Metacritic PC</v>
      </c>
      <c r="K46" s="6" t="s">
        <v>30</v>
      </c>
      <c r="L46" s="1"/>
      <c r="M46" s="1"/>
      <c r="N46" s="1"/>
      <c r="O46" s="1"/>
    </row>
    <row r="47" customFormat="false" ht="23.85" hidden="false" customHeight="false" outlineLevel="0" collapsed="false">
      <c r="A47" s="8" t="s">
        <v>130</v>
      </c>
      <c r="B47" s="9" t="n">
        <v>83</v>
      </c>
      <c r="C47" s="10" t="str">
        <f aca="false">IF(B47="","Sin puntaje",IF(B47&gt;=90,"Obra maestra (90+)",IF(B47&gt;=80,"Muy bueno (80-89)",IF(B47&gt;=70,"Bueno (70-79)","Regular (&lt;70)"))))</f>
        <v>Muy bueno (80-89)</v>
      </c>
      <c r="D47" s="11" t="s">
        <v>12</v>
      </c>
      <c r="E47" s="11" t="s">
        <v>115</v>
      </c>
      <c r="F47" s="11" t="s">
        <v>116</v>
      </c>
      <c r="G47" s="11" t="s">
        <v>117</v>
      </c>
      <c r="H47" s="11" t="s">
        <v>117</v>
      </c>
      <c r="I47" s="11" t="s">
        <v>131</v>
      </c>
      <c r="J47" s="12" t="str">
        <f aca="false">HYPERLINK("https://playpile.gg/games/age-of-empires","Metacritic PC")</f>
        <v>Metacritic PC</v>
      </c>
      <c r="K47" s="11" t="s">
        <v>30</v>
      </c>
      <c r="L47" s="1"/>
      <c r="M47" s="1"/>
      <c r="N47" s="1"/>
      <c r="O47" s="1"/>
    </row>
    <row r="48" customFormat="false" ht="15" hidden="false" customHeight="false" outlineLevel="0" collapsed="false">
      <c r="A48" s="3" t="s">
        <v>132</v>
      </c>
      <c r="B48" s="4" t="n">
        <v>83</v>
      </c>
      <c r="C48" s="5" t="str">
        <f aca="false">IF(B48="","Sin puntaje",IF(B48&gt;=90,"Obra maestra (90+)",IF(B48&gt;=80,"Muy bueno (80-89)",IF(B48&gt;=70,"Bueno (70-79)","Regular (&lt;70)"))))</f>
        <v>Muy bueno (80-89)</v>
      </c>
      <c r="D48" s="6" t="s">
        <v>12</v>
      </c>
      <c r="E48" s="6" t="s">
        <v>115</v>
      </c>
      <c r="F48" s="6" t="s">
        <v>116</v>
      </c>
      <c r="G48" s="6" t="s">
        <v>117</v>
      </c>
      <c r="H48" s="6" t="s">
        <v>117</v>
      </c>
      <c r="I48" s="6" t="s">
        <v>133</v>
      </c>
      <c r="J48" s="7" t="str">
        <f aca="false">HYPERLINK("https://legacy.prod.metacritic.com/game/pc/blasphemous-2","Metacritic PC")</f>
        <v>Metacritic PC</v>
      </c>
      <c r="K48" s="6" t="s">
        <v>30</v>
      </c>
      <c r="L48" s="1"/>
      <c r="M48" s="1"/>
      <c r="N48" s="1"/>
      <c r="O48" s="1"/>
    </row>
    <row r="49" customFormat="false" ht="15" hidden="false" customHeight="false" outlineLevel="0" collapsed="false">
      <c r="A49" s="8" t="s">
        <v>134</v>
      </c>
      <c r="B49" s="9" t="n">
        <v>81</v>
      </c>
      <c r="C49" s="10" t="str">
        <f aca="false">IF(B49="","Sin puntaje",IF(B49&gt;=90,"Obra maestra (90+)",IF(B49&gt;=80,"Muy bueno (80-89)",IF(B49&gt;=70,"Bueno (70-79)","Regular (&lt;70)"))))</f>
        <v>Muy bueno (80-89)</v>
      </c>
      <c r="D49" s="11" t="s">
        <v>12</v>
      </c>
      <c r="E49" s="11" t="s">
        <v>115</v>
      </c>
      <c r="F49" s="11" t="s">
        <v>116</v>
      </c>
      <c r="G49" s="11" t="s">
        <v>117</v>
      </c>
      <c r="H49" s="11" t="s">
        <v>117</v>
      </c>
      <c r="I49" s="11" t="s">
        <v>135</v>
      </c>
      <c r="J49" s="12" t="str">
        <f aca="false">HYPERLINK("https://www.gamersunchained.com/game/unravel","Metacritic PC")</f>
        <v>Metacritic PC</v>
      </c>
      <c r="K49" s="11" t="s">
        <v>30</v>
      </c>
      <c r="L49" s="1"/>
      <c r="M49" s="1"/>
      <c r="N49" s="1"/>
      <c r="O49" s="1"/>
    </row>
    <row r="50" customFormat="false" ht="15" hidden="false" customHeight="false" outlineLevel="0" collapsed="false">
      <c r="A50" s="3" t="s">
        <v>136</v>
      </c>
      <c r="B50" s="4" t="n">
        <v>81</v>
      </c>
      <c r="C50" s="5" t="str">
        <f aca="false">IF(B50="","Sin puntaje",IF(B50&gt;=90,"Obra maestra (90+)",IF(B50&gt;=80,"Muy bueno (80-89)",IF(B50&gt;=70,"Bueno (70-79)","Regular (&lt;70)"))))</f>
        <v>Muy bueno (80-89)</v>
      </c>
      <c r="D50" s="6" t="s">
        <v>12</v>
      </c>
      <c r="E50" s="6" t="s">
        <v>115</v>
      </c>
      <c r="F50" s="6" t="s">
        <v>116</v>
      </c>
      <c r="G50" s="6" t="s">
        <v>117</v>
      </c>
      <c r="H50" s="6" t="s">
        <v>117</v>
      </c>
      <c r="I50" s="6" t="s">
        <v>137</v>
      </c>
      <c r="J50" s="7" t="str">
        <f aca="false">HYPERLINK("https://playpile.gg/games/divine-divinity","Metacritic PC")</f>
        <v>Metacritic PC</v>
      </c>
      <c r="K50" s="6" t="s">
        <v>30</v>
      </c>
      <c r="L50" s="1"/>
      <c r="M50" s="1"/>
      <c r="N50" s="1"/>
      <c r="O50" s="1"/>
    </row>
    <row r="51" customFormat="false" ht="15" hidden="false" customHeight="false" outlineLevel="0" collapsed="false">
      <c r="A51" s="8" t="s">
        <v>138</v>
      </c>
      <c r="B51" s="9" t="n">
        <v>80</v>
      </c>
      <c r="C51" s="10" t="str">
        <f aca="false">IF(B51="","Sin puntaje",IF(B51&gt;=90,"Obra maestra (90+)",IF(B51&gt;=80,"Muy bueno (80-89)",IF(B51&gt;=70,"Bueno (70-79)","Regular (&lt;70)"))))</f>
        <v>Muy bueno (80-89)</v>
      </c>
      <c r="D51" s="11" t="s">
        <v>12</v>
      </c>
      <c r="E51" s="11" t="s">
        <v>115</v>
      </c>
      <c r="F51" s="11" t="s">
        <v>116</v>
      </c>
      <c r="G51" s="11" t="s">
        <v>117</v>
      </c>
      <c r="H51" s="11" t="s">
        <v>117</v>
      </c>
      <c r="I51" s="11" t="s">
        <v>139</v>
      </c>
      <c r="J51" s="12" t="str">
        <f aca="false">HYPERLINK("https://fi.wikipedia.com/wiki/Heroes_of_Might_and_Magic_4","GameRankings PC")</f>
        <v>GameRankings PC</v>
      </c>
      <c r="K51" s="11" t="s">
        <v>30</v>
      </c>
      <c r="L51" s="1"/>
      <c r="M51" s="1"/>
      <c r="N51" s="1"/>
      <c r="O51" s="1"/>
    </row>
    <row r="52" customFormat="false" ht="15" hidden="false" customHeight="false" outlineLevel="0" collapsed="false">
      <c r="A52" s="3" t="s">
        <v>140</v>
      </c>
      <c r="B52" s="4" t="n">
        <v>79</v>
      </c>
      <c r="C52" s="5" t="str">
        <f aca="false">IF(B52="","Sin puntaje",IF(B52&gt;=90,"Obra maestra (90+)",IF(B52&gt;=80,"Muy bueno (80-89)",IF(B52&gt;=70,"Bueno (70-79)","Regular (&lt;70)"))))</f>
        <v>Bueno (70-79)</v>
      </c>
      <c r="D52" s="6" t="s">
        <v>12</v>
      </c>
      <c r="E52" s="6" t="s">
        <v>115</v>
      </c>
      <c r="F52" s="6" t="s">
        <v>116</v>
      </c>
      <c r="G52" s="6" t="s">
        <v>117</v>
      </c>
      <c r="H52" s="6" t="s">
        <v>117</v>
      </c>
      <c r="I52" s="6" t="s">
        <v>129</v>
      </c>
      <c r="J52" s="7" t="str">
        <f aca="false">HYPERLINK("https://www.gamedeveloper.com/game-platforms/critical-reception-telltale-games-i-tales-of-monkey-island-chapter-1-i-","Metacritic PC")</f>
        <v>Metacritic PC</v>
      </c>
      <c r="K52" s="6" t="s">
        <v>30</v>
      </c>
      <c r="L52" s="1"/>
      <c r="M52" s="1"/>
      <c r="N52" s="1"/>
      <c r="O52" s="1"/>
    </row>
    <row r="53" customFormat="false" ht="23.85" hidden="false" customHeight="false" outlineLevel="0" collapsed="false">
      <c r="A53" s="8" t="s">
        <v>141</v>
      </c>
      <c r="B53" s="9" t="n">
        <v>78</v>
      </c>
      <c r="C53" s="10" t="str">
        <f aca="false">IF(B53="","Sin puntaje",IF(B53&gt;=90,"Obra maestra (90+)",IF(B53&gt;=80,"Muy bueno (80-89)",IF(B53&gt;=70,"Bueno (70-79)","Regular (&lt;70)"))))</f>
        <v>Bueno (70-79)</v>
      </c>
      <c r="D53" s="11" t="s">
        <v>12</v>
      </c>
      <c r="E53" s="11" t="s">
        <v>115</v>
      </c>
      <c r="F53" s="11" t="s">
        <v>116</v>
      </c>
      <c r="G53" s="11" t="s">
        <v>117</v>
      </c>
      <c r="H53" s="11" t="s">
        <v>117</v>
      </c>
      <c r="I53" s="11" t="s">
        <v>133</v>
      </c>
      <c r="J53" s="12" t="str">
        <f aca="false">HYPERLINK("https://ensigame.com/games/series/1550","Metacritic (plataforma sin especificar) · dudoso")</f>
        <v>Metacritic (plataforma sin especificar) · dudoso</v>
      </c>
      <c r="K53" s="11" t="s">
        <v>30</v>
      </c>
      <c r="L53" s="1"/>
      <c r="M53" s="1"/>
      <c r="N53" s="1"/>
      <c r="O53" s="1"/>
    </row>
    <row r="54" customFormat="false" ht="23.85" hidden="false" customHeight="false" outlineLevel="0" collapsed="false">
      <c r="A54" s="3" t="s">
        <v>142</v>
      </c>
      <c r="B54" s="4" t="n">
        <v>77</v>
      </c>
      <c r="C54" s="5" t="str">
        <f aca="false">IF(B54="","Sin puntaje",IF(B54&gt;=90,"Obra maestra (90+)",IF(B54&gt;=80,"Muy bueno (80-89)",IF(B54&gt;=70,"Bueno (70-79)","Regular (&lt;70)"))))</f>
        <v>Bueno (70-79)</v>
      </c>
      <c r="D54" s="6" t="s">
        <v>12</v>
      </c>
      <c r="E54" s="6" t="s">
        <v>115</v>
      </c>
      <c r="F54" s="6" t="s">
        <v>116</v>
      </c>
      <c r="G54" s="6" t="s">
        <v>117</v>
      </c>
      <c r="H54" s="6" t="s">
        <v>117</v>
      </c>
      <c r="I54" s="6" t="s">
        <v>124</v>
      </c>
      <c r="J54" s="7" t="str">
        <f aca="false">HYPERLINK("https://rawg.io/games/divinity-dragon-commander/suggestions","Metacritic PC (Developer's Cut)")</f>
        <v>Metacritic PC (Developer's Cut)</v>
      </c>
      <c r="K54" s="6" t="s">
        <v>30</v>
      </c>
      <c r="L54" s="1"/>
      <c r="M54" s="1"/>
      <c r="N54" s="1"/>
      <c r="O54" s="1"/>
    </row>
    <row r="55" customFormat="false" ht="15" hidden="false" customHeight="false" outlineLevel="0" collapsed="false">
      <c r="A55" s="8" t="s">
        <v>143</v>
      </c>
      <c r="B55" s="9" t="n">
        <v>76</v>
      </c>
      <c r="C55" s="10" t="str">
        <f aca="false">IF(B55="","Sin puntaje",IF(B55&gt;=90,"Obra maestra (90+)",IF(B55&gt;=80,"Muy bueno (80-89)",IF(B55&gt;=70,"Bueno (70-79)","Regular (&lt;70)"))))</f>
        <v>Bueno (70-79)</v>
      </c>
      <c r="D55" s="11" t="s">
        <v>12</v>
      </c>
      <c r="E55" s="11" t="s">
        <v>115</v>
      </c>
      <c r="F55" s="11" t="s">
        <v>116</v>
      </c>
      <c r="G55" s="11" t="s">
        <v>117</v>
      </c>
      <c r="H55" s="11" t="s">
        <v>117</v>
      </c>
      <c r="I55" s="11" t="s">
        <v>135</v>
      </c>
      <c r="J55" s="12" t="str">
        <f aca="false">HYPERLINK("https://www.gamersunchained.com/game/pc/unravel-two","Metacritic PC")</f>
        <v>Metacritic PC</v>
      </c>
      <c r="K55" s="11" t="s">
        <v>30</v>
      </c>
      <c r="L55" s="1"/>
      <c r="M55" s="1"/>
      <c r="N55" s="1"/>
      <c r="O55" s="1"/>
    </row>
    <row r="56" customFormat="false" ht="15" hidden="false" customHeight="false" outlineLevel="0" collapsed="false">
      <c r="A56" s="3" t="s">
        <v>144</v>
      </c>
      <c r="B56" s="4" t="n">
        <v>73</v>
      </c>
      <c r="C56" s="5" t="str">
        <f aca="false">IF(B56="","Sin puntaje",IF(B56&gt;=90,"Obra maestra (90+)",IF(B56&gt;=80,"Muy bueno (80-89)",IF(B56&gt;=70,"Bueno (70-79)","Regular (&lt;70)"))))</f>
        <v>Bueno (70-79)</v>
      </c>
      <c r="D56" s="6" t="s">
        <v>12</v>
      </c>
      <c r="E56" s="6" t="s">
        <v>115</v>
      </c>
      <c r="F56" s="6" t="s">
        <v>116</v>
      </c>
      <c r="G56" s="6" t="s">
        <v>117</v>
      </c>
      <c r="H56" s="6" t="s">
        <v>117</v>
      </c>
      <c r="I56" s="6" t="s">
        <v>137</v>
      </c>
      <c r="J56" s="7" t="str">
        <f aca="false">HYPERLINK("https://rawg.io/games/divinity-original-sin/suggestions","Metacritic PC")</f>
        <v>Metacritic PC</v>
      </c>
      <c r="K56" s="6" t="s">
        <v>30</v>
      </c>
      <c r="L56" s="1"/>
      <c r="M56" s="1"/>
      <c r="N56" s="1"/>
      <c r="O56" s="1"/>
    </row>
    <row r="57" customFormat="false" ht="15" hidden="false" customHeight="false" outlineLevel="0" collapsed="false">
      <c r="A57" s="8" t="s">
        <v>145</v>
      </c>
      <c r="B57" s="9"/>
      <c r="C57" s="10" t="str">
        <f aca="false">IF(B57="","Sin puntaje",IF(B57&gt;=90,"Obra maestra (90+)",IF(B57&gt;=80,"Muy bueno (80-89)",IF(B57&gt;=70,"Bueno (70-79)","Regular (&lt;70)"))))</f>
        <v>Sin puntaje</v>
      </c>
      <c r="D57" s="11" t="s">
        <v>12</v>
      </c>
      <c r="E57" s="11" t="s">
        <v>115</v>
      </c>
      <c r="F57" s="11" t="s">
        <v>116</v>
      </c>
      <c r="G57" s="11" t="s">
        <v>117</v>
      </c>
      <c r="H57" s="11" t="s">
        <v>117</v>
      </c>
      <c r="I57" s="11" t="s">
        <v>146</v>
      </c>
      <c r="J57" s="14" t="s">
        <v>57</v>
      </c>
      <c r="K57" s="11" t="s">
        <v>147</v>
      </c>
      <c r="L57" s="1"/>
      <c r="M57" s="1"/>
      <c r="N57" s="1"/>
      <c r="O57" s="1"/>
    </row>
    <row r="58" customFormat="false" ht="15" hidden="false" customHeight="false" outlineLevel="0" collapsed="false">
      <c r="A58" s="3" t="s">
        <v>148</v>
      </c>
      <c r="B58" s="4" t="n">
        <v>97</v>
      </c>
      <c r="C58" s="5" t="str">
        <f aca="false">IF(B58="","Sin puntaje",IF(B58&gt;=90,"Obra maestra (90+)",IF(B58&gt;=80,"Muy bueno (80-89)",IF(B58&gt;=70,"Bueno (70-79)","Regular (&lt;70)"))))</f>
        <v>Obra maestra (90+)</v>
      </c>
      <c r="D58" s="6" t="s">
        <v>149</v>
      </c>
      <c r="E58" s="6" t="s">
        <v>13</v>
      </c>
      <c r="F58" s="6" t="s">
        <v>24</v>
      </c>
      <c r="G58" s="6" t="s">
        <v>150</v>
      </c>
      <c r="H58" s="6" t="s">
        <v>16</v>
      </c>
      <c r="I58" s="6"/>
      <c r="J58" s="7" t="str">
        <f aca="false">HYPERLINK("https://www.keengamer.com/articles/features/6-of-the-best-n64-games-based-on-aggregated-metacritic-ratings/","Metacritic N64")</f>
        <v>Metacritic N64</v>
      </c>
      <c r="K58" s="6" t="s">
        <v>17</v>
      </c>
      <c r="L58" s="1"/>
      <c r="M58" s="1"/>
      <c r="N58" s="1"/>
      <c r="O58" s="1"/>
    </row>
    <row r="59" customFormat="false" ht="23.85" hidden="false" customHeight="false" outlineLevel="0" collapsed="false">
      <c r="A59" s="8" t="s">
        <v>151</v>
      </c>
      <c r="B59" s="9" t="n">
        <v>94</v>
      </c>
      <c r="C59" s="10" t="str">
        <f aca="false">IF(B59="","Sin puntaje",IF(B59&gt;=90,"Obra maestra (90+)",IF(B59&gt;=80,"Muy bueno (80-89)",IF(B59&gt;=70,"Bueno (70-79)","Regular (&lt;70)"))))</f>
        <v>Obra maestra (90+)</v>
      </c>
      <c r="D59" s="11" t="s">
        <v>149</v>
      </c>
      <c r="E59" s="11" t="s">
        <v>13</v>
      </c>
      <c r="F59" s="11" t="s">
        <v>24</v>
      </c>
      <c r="G59" s="11" t="s">
        <v>152</v>
      </c>
      <c r="H59" s="11" t="s">
        <v>16</v>
      </c>
      <c r="I59" s="11"/>
      <c r="J59" s="12" t="str">
        <f aca="false">HYPERLINK("https://gamescrobbler.com/fr/games/diablo","Metacritic PC")</f>
        <v>Metacritic PC</v>
      </c>
      <c r="K59" s="11" t="s">
        <v>17</v>
      </c>
      <c r="L59" s="1"/>
      <c r="M59" s="1"/>
      <c r="N59" s="1"/>
      <c r="O59" s="1"/>
    </row>
    <row r="60" customFormat="false" ht="15" hidden="false" customHeight="false" outlineLevel="0" collapsed="false">
      <c r="A60" s="3" t="s">
        <v>153</v>
      </c>
      <c r="B60" s="4" t="n">
        <v>92</v>
      </c>
      <c r="C60" s="5" t="str">
        <f aca="false">IF(B60="","Sin puntaje",IF(B60&gt;=90,"Obra maestra (90+)",IF(B60&gt;=80,"Muy bueno (80-89)",IF(B60&gt;=70,"Bueno (70-79)","Regular (&lt;70)"))))</f>
        <v>Obra maestra (90+)</v>
      </c>
      <c r="D60" s="6" t="s">
        <v>149</v>
      </c>
      <c r="E60" s="6" t="s">
        <v>13</v>
      </c>
      <c r="F60" s="6" t="s">
        <v>24</v>
      </c>
      <c r="G60" s="6" t="s">
        <v>48</v>
      </c>
      <c r="H60" s="6" t="s">
        <v>16</v>
      </c>
      <c r="I60" s="6"/>
      <c r="J60" s="7" t="str">
        <f aca="false">HYPERLINK("https://everythingedinburgh.com/games/gaming/best-indie-games/","Metacritic PC")</f>
        <v>Metacritic PC</v>
      </c>
      <c r="K60" s="6" t="s">
        <v>17</v>
      </c>
      <c r="L60" s="1"/>
      <c r="M60" s="1"/>
      <c r="N60" s="1"/>
      <c r="O60" s="1"/>
    </row>
    <row r="61" customFormat="false" ht="15" hidden="false" customHeight="false" outlineLevel="0" collapsed="false">
      <c r="A61" s="8" t="s">
        <v>154</v>
      </c>
      <c r="B61" s="9" t="n">
        <v>92</v>
      </c>
      <c r="C61" s="10" t="str">
        <f aca="false">IF(B61="","Sin puntaje",IF(B61&gt;=90,"Obra maestra (90+)",IF(B61&gt;=80,"Muy bueno (80-89)",IF(B61&gt;=70,"Bueno (70-79)","Regular (&lt;70)"))))</f>
        <v>Obra maestra (90+)</v>
      </c>
      <c r="D61" s="11" t="s">
        <v>149</v>
      </c>
      <c r="E61" s="11" t="s">
        <v>13</v>
      </c>
      <c r="F61" s="11" t="s">
        <v>24</v>
      </c>
      <c r="G61" s="11" t="s">
        <v>48</v>
      </c>
      <c r="H61" s="11" t="s">
        <v>72</v>
      </c>
      <c r="I61" s="11"/>
      <c r="J61" s="12" t="str">
        <f aca="false">HYPERLINK("https://rawg.io/games/return-to-castle-wolfenstein/suggestions","Metacritic PC")</f>
        <v>Metacritic PC</v>
      </c>
      <c r="K61" s="11" t="s">
        <v>17</v>
      </c>
      <c r="L61" s="1"/>
      <c r="M61" s="1"/>
      <c r="N61" s="1"/>
      <c r="O61" s="1"/>
    </row>
    <row r="62" customFormat="false" ht="15" hidden="false" customHeight="false" outlineLevel="0" collapsed="false">
      <c r="A62" s="3" t="s">
        <v>155</v>
      </c>
      <c r="B62" s="4" t="n">
        <v>91</v>
      </c>
      <c r="C62" s="5" t="str">
        <f aca="false">IF(B62="","Sin puntaje",IF(B62&gt;=90,"Obra maestra (90+)",IF(B62&gt;=80,"Muy bueno (80-89)",IF(B62&gt;=70,"Bueno (70-79)","Regular (&lt;70)"))))</f>
        <v>Obra maestra (90+)</v>
      </c>
      <c r="D62" s="6" t="s">
        <v>149</v>
      </c>
      <c r="E62" s="6" t="s">
        <v>13</v>
      </c>
      <c r="F62" s="6" t="s">
        <v>24</v>
      </c>
      <c r="G62" s="6" t="s">
        <v>48</v>
      </c>
      <c r="H62" s="6" t="s">
        <v>16</v>
      </c>
      <c r="I62" s="6"/>
      <c r="J62" s="7" t="str">
        <f aca="false">HYPERLINK("https://mail.tombraiders.net/stella/tomb1.html","Metacritic PS1")</f>
        <v>Metacritic PS1</v>
      </c>
      <c r="K62" s="6" t="s">
        <v>17</v>
      </c>
      <c r="L62" s="1"/>
      <c r="M62" s="1"/>
      <c r="N62" s="1"/>
      <c r="O62" s="1"/>
    </row>
    <row r="63" customFormat="false" ht="15" hidden="false" customHeight="false" outlineLevel="0" collapsed="false">
      <c r="A63" s="8" t="s">
        <v>156</v>
      </c>
      <c r="B63" s="9" t="n">
        <v>91</v>
      </c>
      <c r="C63" s="10" t="str">
        <f aca="false">IF(B63="","Sin puntaje",IF(B63&gt;=90,"Obra maestra (90+)",IF(B63&gt;=80,"Muy bueno (80-89)",IF(B63&gt;=70,"Bueno (70-79)","Regular (&lt;70)"))))</f>
        <v>Obra maestra (90+)</v>
      </c>
      <c r="D63" s="11" t="s">
        <v>149</v>
      </c>
      <c r="E63" s="11" t="s">
        <v>13</v>
      </c>
      <c r="F63" s="11" t="s">
        <v>24</v>
      </c>
      <c r="G63" s="11" t="s">
        <v>48</v>
      </c>
      <c r="H63" s="11" t="s">
        <v>16</v>
      </c>
      <c r="I63" s="11"/>
      <c r="J63" s="12" t="str">
        <f aca="false">HYPERLINK("https://legacy.prod.metacritic.com/game/pc/fez/critic-reviews","Metacritic PC")</f>
        <v>Metacritic PC</v>
      </c>
      <c r="K63" s="11" t="s">
        <v>17</v>
      </c>
      <c r="L63" s="1"/>
      <c r="M63" s="1"/>
      <c r="N63" s="1"/>
      <c r="O63" s="1"/>
    </row>
    <row r="64" customFormat="false" ht="15" hidden="false" customHeight="false" outlineLevel="0" collapsed="false">
      <c r="A64" s="3" t="s">
        <v>157</v>
      </c>
      <c r="B64" s="4" t="n">
        <v>91</v>
      </c>
      <c r="C64" s="5" t="str">
        <f aca="false">IF(B64="","Sin puntaje",IF(B64&gt;=90,"Obra maestra (90+)",IF(B64&gt;=80,"Muy bueno (80-89)",IF(B64&gt;=70,"Bueno (70-79)","Regular (&lt;70)"))))</f>
        <v>Obra maestra (90+)</v>
      </c>
      <c r="D64" s="6" t="s">
        <v>149</v>
      </c>
      <c r="E64" s="6" t="s">
        <v>13</v>
      </c>
      <c r="F64" s="6" t="s">
        <v>24</v>
      </c>
      <c r="G64" s="6" t="s">
        <v>48</v>
      </c>
      <c r="H64" s="6" t="s">
        <v>72</v>
      </c>
      <c r="I64" s="6"/>
      <c r="J64" s="7" t="str">
        <f aca="false">HYPERLINK("https://rawg.io/games/star-wars-republic-commando-2/suggestions","Metacritic PC")</f>
        <v>Metacritic PC</v>
      </c>
      <c r="K64" s="6" t="s">
        <v>17</v>
      </c>
      <c r="L64" s="1"/>
      <c r="M64" s="1"/>
      <c r="N64" s="1"/>
      <c r="O64" s="1"/>
    </row>
    <row r="65" customFormat="false" ht="15" hidden="false" customHeight="false" outlineLevel="0" collapsed="false">
      <c r="A65" s="8" t="s">
        <v>158</v>
      </c>
      <c r="B65" s="9" t="n">
        <v>90</v>
      </c>
      <c r="C65" s="10" t="str">
        <f aca="false">IF(B65="","Sin puntaje",IF(B65&gt;=90,"Obra maestra (90+)",IF(B65&gt;=80,"Muy bueno (80-89)",IF(B65&gt;=70,"Bueno (70-79)","Regular (&lt;70)"))))</f>
        <v>Obra maestra (90+)</v>
      </c>
      <c r="D65" s="11" t="s">
        <v>149</v>
      </c>
      <c r="E65" s="11" t="s">
        <v>13</v>
      </c>
      <c r="F65" s="11" t="s">
        <v>24</v>
      </c>
      <c r="G65" s="11" t="s">
        <v>48</v>
      </c>
      <c r="H65" s="11" t="s">
        <v>16</v>
      </c>
      <c r="I65" s="11"/>
      <c r="J65" s="12" t="str">
        <f aca="false">HYPERLINK("https://legacy.prod.metacritic.com/game/pc/braid","Metacritic PC")</f>
        <v>Metacritic PC</v>
      </c>
      <c r="K65" s="11" t="s">
        <v>17</v>
      </c>
      <c r="L65" s="1"/>
      <c r="M65" s="1"/>
      <c r="N65" s="1"/>
      <c r="O65" s="1"/>
    </row>
    <row r="66" customFormat="false" ht="15" hidden="false" customHeight="false" outlineLevel="0" collapsed="false">
      <c r="A66" s="3" t="s">
        <v>159</v>
      </c>
      <c r="B66" s="4" t="n">
        <v>90</v>
      </c>
      <c r="C66" s="5" t="str">
        <f aca="false">IF(B66="","Sin puntaje",IF(B66&gt;=90,"Obra maestra (90+)",IF(B66&gt;=80,"Muy bueno (80-89)",IF(B66&gt;=70,"Bueno (70-79)","Regular (&lt;70)"))))</f>
        <v>Obra maestra (90+)</v>
      </c>
      <c r="D66" s="6" t="s">
        <v>149</v>
      </c>
      <c r="E66" s="6" t="s">
        <v>13</v>
      </c>
      <c r="F66" s="6" t="s">
        <v>24</v>
      </c>
      <c r="G66" s="6" t="s">
        <v>48</v>
      </c>
      <c r="H66" s="6" t="s">
        <v>21</v>
      </c>
      <c r="I66" s="6"/>
      <c r="J66" s="7" t="str">
        <f aca="false">HYPERLINK("https://www.dlcompare.fr/jeux/100000401/acheter-world-of-goo","Metacritic PC")</f>
        <v>Metacritic PC</v>
      </c>
      <c r="K66" s="6" t="s">
        <v>17</v>
      </c>
      <c r="L66" s="1"/>
      <c r="M66" s="1"/>
      <c r="N66" s="1"/>
      <c r="O66" s="1"/>
    </row>
    <row r="67" customFormat="false" ht="23.85" hidden="false" customHeight="false" outlineLevel="0" collapsed="false">
      <c r="A67" s="8" t="s">
        <v>160</v>
      </c>
      <c r="B67" s="9" t="n">
        <v>90</v>
      </c>
      <c r="C67" s="10" t="str">
        <f aca="false">IF(B67="","Sin puntaje",IF(B67&gt;=90,"Obra maestra (90+)",IF(B67&gt;=80,"Muy bueno (80-89)",IF(B67&gt;=70,"Bueno (70-79)","Regular (&lt;70)"))))</f>
        <v>Obra maestra (90+)</v>
      </c>
      <c r="D67" s="11" t="s">
        <v>149</v>
      </c>
      <c r="E67" s="11" t="s">
        <v>13</v>
      </c>
      <c r="F67" s="11" t="s">
        <v>24</v>
      </c>
      <c r="G67" s="11" t="s">
        <v>61</v>
      </c>
      <c r="H67" s="11" t="s">
        <v>16</v>
      </c>
      <c r="I67" s="11"/>
      <c r="J67" s="12" t="str">
        <f aca="false">HYPERLINK("https://legacy.prod.metacritic.com/game/pc/spelunky","Metacritic PC (Spelunky HD, 2013) · dudoso")</f>
        <v>Metacritic PC (Spelunky HD, 2013) · dudoso</v>
      </c>
      <c r="K67" s="11" t="s">
        <v>17</v>
      </c>
      <c r="L67" s="1"/>
      <c r="M67" s="1"/>
      <c r="N67" s="1"/>
      <c r="O67" s="1"/>
    </row>
    <row r="68" customFormat="false" ht="15" hidden="false" customHeight="false" outlineLevel="0" collapsed="false">
      <c r="A68" s="3" t="s">
        <v>161</v>
      </c>
      <c r="B68" s="4" t="n">
        <v>90</v>
      </c>
      <c r="C68" s="5" t="str">
        <f aca="false">IF(B68="","Sin puntaje",IF(B68&gt;=90,"Obra maestra (90+)",IF(B68&gt;=80,"Muy bueno (80-89)",IF(B68&gt;=70,"Bueno (70-79)","Regular (&lt;70)"))))</f>
        <v>Obra maestra (90+)</v>
      </c>
      <c r="D68" s="6" t="s">
        <v>149</v>
      </c>
      <c r="E68" s="6" t="s">
        <v>13</v>
      </c>
      <c r="F68" s="6" t="s">
        <v>24</v>
      </c>
      <c r="G68" s="6" t="s">
        <v>162</v>
      </c>
      <c r="H68" s="6" t="s">
        <v>16</v>
      </c>
      <c r="I68" s="6"/>
      <c r="J68" s="7" t="str">
        <f aca="false">HYPERLINK("https://legacy.prod.metacritic.com/game/pc/mina-the-hollower/critic-reviews","Metacritic PC")</f>
        <v>Metacritic PC</v>
      </c>
      <c r="K68" s="6" t="s">
        <v>17</v>
      </c>
      <c r="L68" s="1"/>
      <c r="M68" s="1"/>
      <c r="N68" s="1"/>
      <c r="O68" s="1"/>
    </row>
    <row r="69" customFormat="false" ht="15" hidden="false" customHeight="false" outlineLevel="0" collapsed="false">
      <c r="A69" s="8" t="s">
        <v>163</v>
      </c>
      <c r="B69" s="9" t="n">
        <v>90</v>
      </c>
      <c r="C69" s="10" t="str">
        <f aca="false">IF(B69="","Sin puntaje",IF(B69&gt;=90,"Obra maestra (90+)",IF(B69&gt;=80,"Muy bueno (80-89)",IF(B69&gt;=70,"Bueno (70-79)","Regular (&lt;70)"))))</f>
        <v>Obra maestra (90+)</v>
      </c>
      <c r="D69" s="11" t="s">
        <v>149</v>
      </c>
      <c r="E69" s="11" t="s">
        <v>13</v>
      </c>
      <c r="F69" s="11" t="s">
        <v>24</v>
      </c>
      <c r="G69" s="11" t="s">
        <v>48</v>
      </c>
      <c r="H69" s="11" t="s">
        <v>21</v>
      </c>
      <c r="I69" s="11" t="s">
        <v>164</v>
      </c>
      <c r="J69" s="12" t="str">
        <f aca="false">HYPERLINK("https://www.mobygames.com/game/1339/","MobyGames PC")</f>
        <v>MobyGames PC</v>
      </c>
      <c r="K69" s="11" t="s">
        <v>17</v>
      </c>
      <c r="L69" s="1"/>
      <c r="M69" s="1"/>
      <c r="N69" s="1"/>
      <c r="O69" s="1"/>
    </row>
    <row r="70" customFormat="false" ht="15" hidden="false" customHeight="false" outlineLevel="0" collapsed="false">
      <c r="A70" s="3" t="s">
        <v>165</v>
      </c>
      <c r="B70" s="4" t="n">
        <v>89</v>
      </c>
      <c r="C70" s="5" t="str">
        <f aca="false">IF(B70="","Sin puntaje",IF(B70&gt;=90,"Obra maestra (90+)",IF(B70&gt;=80,"Muy bueno (80-89)",IF(B70&gt;=70,"Bueno (70-79)","Regular (&lt;70)"))))</f>
        <v>Muy bueno (80-89)</v>
      </c>
      <c r="D70" s="6" t="s">
        <v>149</v>
      </c>
      <c r="E70" s="6" t="s">
        <v>13</v>
      </c>
      <c r="F70" s="6" t="s">
        <v>24</v>
      </c>
      <c r="G70" s="6" t="s">
        <v>48</v>
      </c>
      <c r="H70" s="6" t="s">
        <v>16</v>
      </c>
      <c r="I70" s="6"/>
      <c r="J70" s="7" t="str">
        <f aca="false">HYPERLINK("https://pages.cs.wisc.edu/~linzuo/deliverables/stage1/metacritic/metacritic134.html","Metacritic PC · dudoso")</f>
        <v>Metacritic PC · dudoso</v>
      </c>
      <c r="K70" s="6" t="s">
        <v>17</v>
      </c>
      <c r="L70" s="1"/>
      <c r="M70" s="1"/>
      <c r="N70" s="1"/>
      <c r="O70" s="1"/>
    </row>
    <row r="71" customFormat="false" ht="15" hidden="false" customHeight="false" outlineLevel="0" collapsed="false">
      <c r="A71" s="8" t="s">
        <v>166</v>
      </c>
      <c r="B71" s="9" t="n">
        <v>89</v>
      </c>
      <c r="C71" s="10" t="str">
        <f aca="false">IF(B71="","Sin puntaje",IF(B71&gt;=90,"Obra maestra (90+)",IF(B71&gt;=80,"Muy bueno (80-89)",IF(B71&gt;=70,"Bueno (70-79)","Regular (&lt;70)"))))</f>
        <v>Muy bueno (80-89)</v>
      </c>
      <c r="D71" s="11" t="s">
        <v>149</v>
      </c>
      <c r="E71" s="11" t="s">
        <v>13</v>
      </c>
      <c r="F71" s="11" t="s">
        <v>24</v>
      </c>
      <c r="G71" s="11" t="s">
        <v>48</v>
      </c>
      <c r="H71" s="11" t="s">
        <v>21</v>
      </c>
      <c r="I71" s="11"/>
      <c r="J71" s="12" t="str">
        <f aca="false">HYPERLINK("https://twinfinite.net/features/best-fallout-games-ranked-according-metacritic/","Metacritic PC")</f>
        <v>Metacritic PC</v>
      </c>
      <c r="K71" s="11" t="s">
        <v>17</v>
      </c>
      <c r="L71" s="1"/>
      <c r="M71" s="1"/>
      <c r="N71" s="1"/>
      <c r="O71" s="1"/>
    </row>
    <row r="72" customFormat="false" ht="15" hidden="false" customHeight="false" outlineLevel="0" collapsed="false">
      <c r="A72" s="3" t="s">
        <v>167</v>
      </c>
      <c r="B72" s="4" t="n">
        <v>89</v>
      </c>
      <c r="C72" s="5" t="str">
        <f aca="false">IF(B72="","Sin puntaje",IF(B72&gt;=90,"Obra maestra (90+)",IF(B72&gt;=80,"Muy bueno (80-89)",IF(B72&gt;=70,"Bueno (70-79)","Regular (&lt;70)"))))</f>
        <v>Muy bueno (80-89)</v>
      </c>
      <c r="D72" s="6" t="s">
        <v>149</v>
      </c>
      <c r="E72" s="6" t="s">
        <v>13</v>
      </c>
      <c r="F72" s="6" t="s">
        <v>24</v>
      </c>
      <c r="G72" s="6" t="s">
        <v>48</v>
      </c>
      <c r="H72" s="6" t="s">
        <v>16</v>
      </c>
      <c r="I72" s="6"/>
      <c r="J72" s="7" t="str">
        <f aca="false">HYPERLINK("https://legacy.prod.metacritic.com/game/pc/slay-the-spire","Metacritic PC")</f>
        <v>Metacritic PC</v>
      </c>
      <c r="K72" s="6" t="s">
        <v>17</v>
      </c>
      <c r="L72" s="1"/>
      <c r="M72" s="1"/>
      <c r="N72" s="1"/>
      <c r="O72" s="1"/>
    </row>
    <row r="73" customFormat="false" ht="15" hidden="false" customHeight="false" outlineLevel="0" collapsed="false">
      <c r="A73" s="8" t="s">
        <v>168</v>
      </c>
      <c r="B73" s="9" t="n">
        <v>89</v>
      </c>
      <c r="C73" s="10" t="str">
        <f aca="false">IF(B73="","Sin puntaje",IF(B73&gt;=90,"Obra maestra (90+)",IF(B73&gt;=80,"Muy bueno (80-89)",IF(B73&gt;=70,"Bueno (70-79)","Regular (&lt;70)"))))</f>
        <v>Muy bueno (80-89)</v>
      </c>
      <c r="D73" s="11" t="s">
        <v>149</v>
      </c>
      <c r="E73" s="11" t="s">
        <v>13</v>
      </c>
      <c r="F73" s="11" t="s">
        <v>24</v>
      </c>
      <c r="G73" s="11" t="s">
        <v>48</v>
      </c>
      <c r="H73" s="11" t="s">
        <v>72</v>
      </c>
      <c r="I73" s="11"/>
      <c r="J73" s="12" t="str">
        <f aca="false">HYPERLINK("https://gg.deals/game/nuclear-throne/","Metacritic PC")</f>
        <v>Metacritic PC</v>
      </c>
      <c r="K73" s="11" t="s">
        <v>17</v>
      </c>
      <c r="L73" s="1"/>
      <c r="M73" s="1"/>
      <c r="N73" s="1"/>
      <c r="O73" s="1"/>
    </row>
    <row r="74" customFormat="false" ht="15" hidden="false" customHeight="false" outlineLevel="0" collapsed="false">
      <c r="A74" s="3" t="s">
        <v>169</v>
      </c>
      <c r="B74" s="4" t="n">
        <v>89</v>
      </c>
      <c r="C74" s="5" t="str">
        <f aca="false">IF(B74="","Sin puntaje",IF(B74&gt;=90,"Obra maestra (90+)",IF(B74&gt;=80,"Muy bueno (80-89)",IF(B74&gt;=70,"Bueno (70-79)","Regular (&lt;70)"))))</f>
        <v>Muy bueno (80-89)</v>
      </c>
      <c r="D74" s="6" t="s">
        <v>149</v>
      </c>
      <c r="E74" s="6" t="s">
        <v>13</v>
      </c>
      <c r="F74" s="6" t="s">
        <v>24</v>
      </c>
      <c r="G74" s="6" t="s">
        <v>48</v>
      </c>
      <c r="H74" s="6" t="s">
        <v>16</v>
      </c>
      <c r="I74" s="6" t="s">
        <v>170</v>
      </c>
      <c r="J74" s="7" t="str">
        <f aca="false">HYPERLINK("https://legacy.prod.metacritic.com/game/pc/dead-cells","Metacritic PC")</f>
        <v>Metacritic PC</v>
      </c>
      <c r="K74" s="6" t="s">
        <v>17</v>
      </c>
      <c r="L74" s="1"/>
      <c r="M74" s="1"/>
      <c r="N74" s="1"/>
      <c r="O74" s="1"/>
    </row>
    <row r="75" customFormat="false" ht="15" hidden="false" customHeight="false" outlineLevel="0" collapsed="false">
      <c r="A75" s="8" t="s">
        <v>171</v>
      </c>
      <c r="B75" s="9" t="n">
        <v>88</v>
      </c>
      <c r="C75" s="10" t="str">
        <f aca="false">IF(B75="","Sin puntaje",IF(B75&gt;=90,"Obra maestra (90+)",IF(B75&gt;=80,"Muy bueno (80-89)",IF(B75&gt;=70,"Bueno (70-79)","Regular (&lt;70)"))))</f>
        <v>Muy bueno (80-89)</v>
      </c>
      <c r="D75" s="11" t="s">
        <v>149</v>
      </c>
      <c r="E75" s="11" t="s">
        <v>13</v>
      </c>
      <c r="F75" s="11" t="s">
        <v>24</v>
      </c>
      <c r="G75" s="11" t="s">
        <v>150</v>
      </c>
      <c r="H75" s="11" t="s">
        <v>16</v>
      </c>
      <c r="I75" s="11"/>
      <c r="J75" s="12" t="str">
        <f aca="false">HYPERLINK("https://opencritic.com/news/33585/star-fox-remake-reviews-fall-just-short-of-matching-star-fox-64","Metacritic N64")</f>
        <v>Metacritic N64</v>
      </c>
      <c r="K75" s="11" t="s">
        <v>17</v>
      </c>
      <c r="L75" s="1"/>
      <c r="M75" s="1"/>
      <c r="N75" s="1"/>
      <c r="O75" s="1"/>
    </row>
    <row r="76" customFormat="false" ht="15" hidden="false" customHeight="false" outlineLevel="0" collapsed="false">
      <c r="A76" s="3" t="s">
        <v>172</v>
      </c>
      <c r="B76" s="4" t="n">
        <v>88</v>
      </c>
      <c r="C76" s="5" t="str">
        <f aca="false">IF(B76="","Sin puntaje",IF(B76&gt;=90,"Obra maestra (90+)",IF(B76&gt;=80,"Muy bueno (80-89)",IF(B76&gt;=70,"Bueno (70-79)","Regular (&lt;70)"))))</f>
        <v>Muy bueno (80-89)</v>
      </c>
      <c r="D76" s="6" t="s">
        <v>149</v>
      </c>
      <c r="E76" s="6" t="s">
        <v>13</v>
      </c>
      <c r="F76" s="6" t="s">
        <v>24</v>
      </c>
      <c r="G76" s="6" t="s">
        <v>48</v>
      </c>
      <c r="H76" s="6" t="s">
        <v>16</v>
      </c>
      <c r="I76" s="6"/>
      <c r="J76" s="7" t="str">
        <f aca="false">HYPERLINK("https://rawg.io/games/tetradecagon/suggestions","Metacritic PC")</f>
        <v>Metacritic PC</v>
      </c>
      <c r="K76" s="6" t="s">
        <v>17</v>
      </c>
      <c r="L76" s="1"/>
      <c r="M76" s="1"/>
      <c r="N76" s="1"/>
      <c r="O76" s="1"/>
    </row>
    <row r="77" customFormat="false" ht="15" hidden="false" customHeight="false" outlineLevel="0" collapsed="false">
      <c r="A77" s="8" t="s">
        <v>173</v>
      </c>
      <c r="B77" s="9" t="n">
        <v>88</v>
      </c>
      <c r="C77" s="10" t="str">
        <f aca="false">IF(B77="","Sin puntaje",IF(B77&gt;=90,"Obra maestra (90+)",IF(B77&gt;=80,"Muy bueno (80-89)",IF(B77&gt;=70,"Bueno (70-79)","Regular (&lt;70)"))))</f>
        <v>Muy bueno (80-89)</v>
      </c>
      <c r="D77" s="11" t="s">
        <v>149</v>
      </c>
      <c r="E77" s="11" t="s">
        <v>13</v>
      </c>
      <c r="F77" s="11" t="s">
        <v>24</v>
      </c>
      <c r="G77" s="11" t="s">
        <v>48</v>
      </c>
      <c r="H77" s="11" t="s">
        <v>16</v>
      </c>
      <c r="I77" s="11"/>
      <c r="J77" s="12" t="str">
        <f aca="false">HYPERLINK("https://en.wikipedia.org/wiki/Owlboy","Metacritic PC")</f>
        <v>Metacritic PC</v>
      </c>
      <c r="K77" s="11" t="s">
        <v>17</v>
      </c>
      <c r="L77" s="1"/>
      <c r="M77" s="1"/>
      <c r="N77" s="1"/>
      <c r="O77" s="1"/>
    </row>
    <row r="78" customFormat="false" ht="15" hidden="false" customHeight="false" outlineLevel="0" collapsed="false">
      <c r="A78" s="3" t="s">
        <v>174</v>
      </c>
      <c r="B78" s="4" t="n">
        <v>88</v>
      </c>
      <c r="C78" s="5" t="str">
        <f aca="false">IF(B78="","Sin puntaje",IF(B78&gt;=90,"Obra maestra (90+)",IF(B78&gt;=80,"Muy bueno (80-89)",IF(B78&gt;=70,"Bueno (70-79)","Regular (&lt;70)"))))</f>
        <v>Muy bueno (80-89)</v>
      </c>
      <c r="D78" s="6" t="s">
        <v>149</v>
      </c>
      <c r="E78" s="6" t="s">
        <v>13</v>
      </c>
      <c r="F78" s="6" t="s">
        <v>175</v>
      </c>
      <c r="G78" s="6" t="s">
        <v>61</v>
      </c>
      <c r="H78" s="6" t="s">
        <v>21</v>
      </c>
      <c r="I78" s="6" t="s">
        <v>164</v>
      </c>
      <c r="J78" s="7" t="str">
        <f aca="false">HYPERLINK("https://www.mobygames.com/game/338/command-conquer/reviews/dos/","MobyGames PC")</f>
        <v>MobyGames PC</v>
      </c>
      <c r="K78" s="6" t="s">
        <v>17</v>
      </c>
      <c r="L78" s="1"/>
      <c r="M78" s="1"/>
      <c r="N78" s="1"/>
      <c r="O78" s="1"/>
    </row>
    <row r="79" customFormat="false" ht="15" hidden="false" customHeight="false" outlineLevel="0" collapsed="false">
      <c r="A79" s="8" t="s">
        <v>176</v>
      </c>
      <c r="B79" s="9" t="n">
        <v>88</v>
      </c>
      <c r="C79" s="10" t="str">
        <f aca="false">IF(B79="","Sin puntaje",IF(B79&gt;=90,"Obra maestra (90+)",IF(B79&gt;=80,"Muy bueno (80-89)",IF(B79&gt;=70,"Bueno (70-79)","Regular (&lt;70)"))))</f>
        <v>Muy bueno (80-89)</v>
      </c>
      <c r="D79" s="11" t="s">
        <v>149</v>
      </c>
      <c r="E79" s="11" t="s">
        <v>13</v>
      </c>
      <c r="F79" s="11" t="s">
        <v>24</v>
      </c>
      <c r="G79" s="11" t="s">
        <v>48</v>
      </c>
      <c r="H79" s="11" t="s">
        <v>72</v>
      </c>
      <c r="I79" s="11"/>
      <c r="J79" s="12" t="str">
        <f aca="false">HYPERLINK("https://mobygames.com/game/500/star-wars-dark-forces/reviews/dos","MobyGames PC")</f>
        <v>MobyGames PC</v>
      </c>
      <c r="K79" s="11" t="s">
        <v>17</v>
      </c>
      <c r="L79" s="1"/>
      <c r="M79" s="1"/>
      <c r="N79" s="1"/>
      <c r="O79" s="1"/>
    </row>
    <row r="80" customFormat="false" ht="15" hidden="false" customHeight="false" outlineLevel="0" collapsed="false">
      <c r="A80" s="3" t="s">
        <v>177</v>
      </c>
      <c r="B80" s="4" t="n">
        <v>88</v>
      </c>
      <c r="C80" s="5" t="str">
        <f aca="false">IF(B80="","Sin puntaje",IF(B80&gt;=90,"Obra maestra (90+)",IF(B80&gt;=80,"Muy bueno (80-89)",IF(B80&gt;=70,"Bueno (70-79)","Regular (&lt;70)"))))</f>
        <v>Muy bueno (80-89)</v>
      </c>
      <c r="D80" s="6" t="s">
        <v>149</v>
      </c>
      <c r="E80" s="6" t="s">
        <v>13</v>
      </c>
      <c r="F80" s="6" t="s">
        <v>24</v>
      </c>
      <c r="G80" s="6" t="s">
        <v>178</v>
      </c>
      <c r="H80" s="6" t="s">
        <v>72</v>
      </c>
      <c r="I80" s="6"/>
      <c r="J80" s="7" t="str">
        <f aca="false">HYPERLINK("https://gg.deals/ca/game/return-to-castle-wolfenstein/","Metacritic PC")</f>
        <v>Metacritic PC</v>
      </c>
      <c r="K80" s="6" t="s">
        <v>17</v>
      </c>
      <c r="L80" s="1"/>
      <c r="M80" s="1"/>
      <c r="N80" s="1"/>
      <c r="O80" s="1"/>
    </row>
    <row r="81" customFormat="false" ht="23.85" hidden="false" customHeight="false" outlineLevel="0" collapsed="false">
      <c r="A81" s="8" t="s">
        <v>179</v>
      </c>
      <c r="B81" s="9" t="n">
        <v>87</v>
      </c>
      <c r="C81" s="10" t="str">
        <f aca="false">IF(B81="","Sin puntaje",IF(B81&gt;=90,"Obra maestra (90+)",IF(B81&gt;=80,"Muy bueno (80-89)",IF(B81&gt;=70,"Bueno (70-79)","Regular (&lt;70)"))))</f>
        <v>Muy bueno (80-89)</v>
      </c>
      <c r="D81" s="11" t="s">
        <v>149</v>
      </c>
      <c r="E81" s="11" t="s">
        <v>13</v>
      </c>
      <c r="F81" s="11" t="s">
        <v>24</v>
      </c>
      <c r="G81" s="11" t="s">
        <v>180</v>
      </c>
      <c r="H81" s="11" t="s">
        <v>16</v>
      </c>
      <c r="I81" s="11"/>
      <c r="J81" s="12" t="str">
        <f aca="false">HYPERLINK("https://opencritic.com/game/8142/doom-1993-","OpenCritic (reedición 2019) · dudoso")</f>
        <v>OpenCritic (reedición 2019) · dudoso</v>
      </c>
      <c r="K81" s="11" t="s">
        <v>17</v>
      </c>
      <c r="L81" s="1"/>
      <c r="M81" s="1"/>
      <c r="N81" s="1"/>
      <c r="O81" s="1"/>
    </row>
    <row r="82" customFormat="false" ht="15" hidden="false" customHeight="false" outlineLevel="0" collapsed="false">
      <c r="A82" s="3" t="s">
        <v>181</v>
      </c>
      <c r="B82" s="4" t="n">
        <v>87</v>
      </c>
      <c r="C82" s="5" t="str">
        <f aca="false">IF(B82="","Sin puntaje",IF(B82&gt;=90,"Obra maestra (90+)",IF(B82&gt;=80,"Muy bueno (80-89)",IF(B82&gt;=70,"Bueno (70-79)","Regular (&lt;70)"))))</f>
        <v>Muy bueno (80-89)</v>
      </c>
      <c r="D82" s="6" t="s">
        <v>149</v>
      </c>
      <c r="E82" s="6" t="s">
        <v>13</v>
      </c>
      <c r="F82" s="6" t="s">
        <v>19</v>
      </c>
      <c r="G82" s="6" t="s">
        <v>48</v>
      </c>
      <c r="H82" s="6" t="s">
        <v>21</v>
      </c>
      <c r="I82" s="6" t="s">
        <v>182</v>
      </c>
      <c r="J82" s="7" t="str">
        <f aca="false">HYPERLINK("https://legacy.prod.metacritic.com/game/pc/icewind-dale","Metacritic PC")</f>
        <v>Metacritic PC</v>
      </c>
      <c r="K82" s="6" t="s">
        <v>17</v>
      </c>
      <c r="L82" s="1"/>
      <c r="M82" s="1"/>
      <c r="N82" s="1"/>
      <c r="O82" s="1"/>
    </row>
    <row r="83" customFormat="false" ht="15" hidden="false" customHeight="false" outlineLevel="0" collapsed="false">
      <c r="A83" s="8" t="s">
        <v>183</v>
      </c>
      <c r="B83" s="9" t="n">
        <v>87</v>
      </c>
      <c r="C83" s="10" t="str">
        <f aca="false">IF(B83="","Sin puntaje",IF(B83&gt;=90,"Obra maestra (90+)",IF(B83&gt;=80,"Muy bueno (80-89)",IF(B83&gt;=70,"Bueno (70-79)","Regular (&lt;70)"))))</f>
        <v>Muy bueno (80-89)</v>
      </c>
      <c r="D83" s="11" t="s">
        <v>149</v>
      </c>
      <c r="E83" s="11" t="s">
        <v>13</v>
      </c>
      <c r="F83" s="11" t="s">
        <v>24</v>
      </c>
      <c r="G83" s="11" t="s">
        <v>48</v>
      </c>
      <c r="H83" s="11" t="s">
        <v>16</v>
      </c>
      <c r="I83" s="11"/>
      <c r="J83" s="12" t="str">
        <f aca="false">HYPERLINK("https://legacy.prod.metacritic.com/game/pc/super-meat-boy","Metacritic PC")</f>
        <v>Metacritic PC</v>
      </c>
      <c r="K83" s="11" t="s">
        <v>17</v>
      </c>
      <c r="L83" s="1"/>
      <c r="M83" s="1"/>
      <c r="N83" s="1"/>
      <c r="O83" s="1"/>
    </row>
    <row r="84" customFormat="false" ht="15" hidden="false" customHeight="false" outlineLevel="0" collapsed="false">
      <c r="A84" s="3" t="s">
        <v>184</v>
      </c>
      <c r="B84" s="4" t="n">
        <v>87</v>
      </c>
      <c r="C84" s="5" t="str">
        <f aca="false">IF(B84="","Sin puntaje",IF(B84&gt;=90,"Obra maestra (90+)",IF(B84&gt;=80,"Muy bueno (80-89)",IF(B84&gt;=70,"Bueno (70-79)","Regular (&lt;70)"))))</f>
        <v>Muy bueno (80-89)</v>
      </c>
      <c r="D84" s="6" t="s">
        <v>149</v>
      </c>
      <c r="E84" s="6" t="s">
        <v>13</v>
      </c>
      <c r="F84" s="6" t="s">
        <v>24</v>
      </c>
      <c r="G84" s="6" t="s">
        <v>48</v>
      </c>
      <c r="H84" s="6" t="s">
        <v>16</v>
      </c>
      <c r="I84" s="6"/>
      <c r="J84" s="7" t="str">
        <f aca="false">HYPERLINK("https://playpile.gg/games/crypt-of-the-necrodancer","Metacritic PC")</f>
        <v>Metacritic PC</v>
      </c>
      <c r="K84" s="6" t="s">
        <v>17</v>
      </c>
      <c r="L84" s="1"/>
      <c r="M84" s="1"/>
      <c r="N84" s="1"/>
      <c r="O84" s="1"/>
    </row>
    <row r="85" customFormat="false" ht="15" hidden="false" customHeight="false" outlineLevel="0" collapsed="false">
      <c r="A85" s="8" t="s">
        <v>185</v>
      </c>
      <c r="B85" s="9" t="n">
        <v>87</v>
      </c>
      <c r="C85" s="10" t="str">
        <f aca="false">IF(B85="","Sin puntaje",IF(B85&gt;=90,"Obra maestra (90+)",IF(B85&gt;=80,"Muy bueno (80-89)",IF(B85&gt;=70,"Bueno (70-79)","Regular (&lt;70)"))))</f>
        <v>Muy bueno (80-89)</v>
      </c>
      <c r="D85" s="11" t="s">
        <v>149</v>
      </c>
      <c r="E85" s="11" t="s">
        <v>13</v>
      </c>
      <c r="F85" s="11" t="s">
        <v>24</v>
      </c>
      <c r="G85" s="11" t="s">
        <v>48</v>
      </c>
      <c r="H85" s="11" t="s">
        <v>16</v>
      </c>
      <c r="I85" s="11"/>
      <c r="J85" s="12" t="str">
        <f aca="false">HYPERLINK("https://rawg.io/games/towerfall-dark-world-expansion/suggestions","Metacritic PC · dudoso")</f>
        <v>Metacritic PC · dudoso</v>
      </c>
      <c r="K85" s="11" t="s">
        <v>17</v>
      </c>
      <c r="L85" s="1"/>
      <c r="M85" s="1"/>
      <c r="N85" s="1"/>
      <c r="O85" s="1"/>
    </row>
    <row r="86" customFormat="false" ht="15" hidden="false" customHeight="false" outlineLevel="0" collapsed="false">
      <c r="A86" s="3" t="s">
        <v>186</v>
      </c>
      <c r="B86" s="4" t="n">
        <v>87</v>
      </c>
      <c r="C86" s="5" t="str">
        <f aca="false">IF(B86="","Sin puntaje",IF(B86&gt;=90,"Obra maestra (90+)",IF(B86&gt;=80,"Muy bueno (80-89)",IF(B86&gt;=70,"Bueno (70-79)","Regular (&lt;70)"))))</f>
        <v>Muy bueno (80-89)</v>
      </c>
      <c r="D86" s="6" t="s">
        <v>149</v>
      </c>
      <c r="E86" s="6" t="s">
        <v>13</v>
      </c>
      <c r="F86" s="6" t="s">
        <v>24</v>
      </c>
      <c r="G86" s="6" t="s">
        <v>48</v>
      </c>
      <c r="H86" s="6" t="s">
        <v>16</v>
      </c>
      <c r="I86" s="6"/>
      <c r="J86" s="7" t="str">
        <f aca="false">HYPERLINK("https://legacy.prod.metacritic.com/game/pc/iconoclasts","Metacritic PC")</f>
        <v>Metacritic PC</v>
      </c>
      <c r="K86" s="6" t="s">
        <v>17</v>
      </c>
      <c r="L86" s="1"/>
      <c r="M86" s="1"/>
      <c r="N86" s="1"/>
      <c r="O86" s="1"/>
    </row>
    <row r="87" customFormat="false" ht="15" hidden="false" customHeight="false" outlineLevel="0" collapsed="false">
      <c r="A87" s="8" t="s">
        <v>187</v>
      </c>
      <c r="B87" s="9" t="n">
        <v>87</v>
      </c>
      <c r="C87" s="10" t="str">
        <f aca="false">IF(B87="","Sin puntaje",IF(B87&gt;=90,"Obra maestra (90+)",IF(B87&gt;=80,"Muy bueno (80-89)",IF(B87&gt;=70,"Bueno (70-79)","Regular (&lt;70)"))))</f>
        <v>Muy bueno (80-89)</v>
      </c>
      <c r="D87" s="11" t="s">
        <v>149</v>
      </c>
      <c r="E87" s="11" t="s">
        <v>13</v>
      </c>
      <c r="F87" s="11" t="s">
        <v>24</v>
      </c>
      <c r="G87" s="11" t="s">
        <v>61</v>
      </c>
      <c r="H87" s="11" t="s">
        <v>72</v>
      </c>
      <c r="I87" s="11"/>
      <c r="J87" s="12" t="str">
        <f aca="false">HYPERLINK("https://www.mobygames.com/game/692/descent/reviews/","MobyGames PC")</f>
        <v>MobyGames PC</v>
      </c>
      <c r="K87" s="11" t="s">
        <v>17</v>
      </c>
      <c r="L87" s="1"/>
      <c r="M87" s="1"/>
      <c r="N87" s="1"/>
      <c r="O87" s="1"/>
    </row>
    <row r="88" customFormat="false" ht="15" hidden="false" customHeight="false" outlineLevel="0" collapsed="false">
      <c r="A88" s="3" t="s">
        <v>188</v>
      </c>
      <c r="B88" s="4" t="n">
        <v>87</v>
      </c>
      <c r="C88" s="5" t="str">
        <f aca="false">IF(B88="","Sin puntaje",IF(B88&gt;=90,"Obra maestra (90+)",IF(B88&gt;=80,"Muy bueno (80-89)",IF(B88&gt;=70,"Bueno (70-79)","Regular (&lt;70)"))))</f>
        <v>Muy bueno (80-89)</v>
      </c>
      <c r="D88" s="6" t="s">
        <v>149</v>
      </c>
      <c r="E88" s="6" t="s">
        <v>13</v>
      </c>
      <c r="F88" s="6" t="s">
        <v>24</v>
      </c>
      <c r="G88" s="6" t="s">
        <v>48</v>
      </c>
      <c r="H88" s="6" t="s">
        <v>16</v>
      </c>
      <c r="I88" s="6"/>
      <c r="J88" s="7" t="str">
        <f aca="false">HYPERLINK("https://www.mobygames.com/game/555/flashback-the-quest-for-identity/reviews/","MobyGames PC")</f>
        <v>MobyGames PC</v>
      </c>
      <c r="K88" s="6" t="s">
        <v>17</v>
      </c>
      <c r="L88" s="1"/>
      <c r="M88" s="1"/>
      <c r="N88" s="1"/>
      <c r="O88" s="1"/>
    </row>
    <row r="89" customFormat="false" ht="15" hidden="false" customHeight="false" outlineLevel="0" collapsed="false">
      <c r="A89" s="8" t="s">
        <v>189</v>
      </c>
      <c r="B89" s="9" t="n">
        <v>86</v>
      </c>
      <c r="C89" s="10" t="str">
        <f aca="false">IF(B89="","Sin puntaje",IF(B89&gt;=90,"Obra maestra (90+)",IF(B89&gt;=80,"Muy bueno (80-89)",IF(B89&gt;=70,"Bueno (70-79)","Regular (&lt;70)"))))</f>
        <v>Muy bueno (80-89)</v>
      </c>
      <c r="D89" s="11" t="s">
        <v>149</v>
      </c>
      <c r="E89" s="11" t="s">
        <v>13</v>
      </c>
      <c r="F89" s="11" t="s">
        <v>24</v>
      </c>
      <c r="G89" s="11" t="s">
        <v>48</v>
      </c>
      <c r="H89" s="11" t="s">
        <v>16</v>
      </c>
      <c r="I89" s="11"/>
      <c r="J89" s="12" t="str">
        <f aca="false">HYPERLINK("https://legacy.prod.metacritic.com/game/switch/sonic-mania","Metacritic Switch")</f>
        <v>Metacritic Switch</v>
      </c>
      <c r="K89" s="11" t="s">
        <v>17</v>
      </c>
      <c r="L89" s="1"/>
      <c r="M89" s="1"/>
      <c r="N89" s="1"/>
      <c r="O89" s="1"/>
    </row>
    <row r="90" customFormat="false" ht="15" hidden="false" customHeight="false" outlineLevel="0" collapsed="false">
      <c r="A90" s="3" t="s">
        <v>190</v>
      </c>
      <c r="B90" s="4" t="n">
        <v>86</v>
      </c>
      <c r="C90" s="5" t="str">
        <f aca="false">IF(B90="","Sin puntaje",IF(B90&gt;=90,"Obra maestra (90+)",IF(B90&gt;=80,"Muy bueno (80-89)",IF(B90&gt;=70,"Bueno (70-79)","Regular (&lt;70)"))))</f>
        <v>Muy bueno (80-89)</v>
      </c>
      <c r="D90" s="6" t="s">
        <v>149</v>
      </c>
      <c r="E90" s="6" t="s">
        <v>13</v>
      </c>
      <c r="F90" s="6" t="s">
        <v>24</v>
      </c>
      <c r="G90" s="6" t="s">
        <v>48</v>
      </c>
      <c r="H90" s="6" t="s">
        <v>21</v>
      </c>
      <c r="I90" s="6"/>
      <c r="J90" s="7" t="str">
        <f aca="false">HYPERLINK("https://pages.cs.wisc.edu/~linzuo/deliverables/stage1/metacritic/metacritic251.html","Metacritic PC")</f>
        <v>Metacritic PC</v>
      </c>
      <c r="K90" s="6" t="s">
        <v>17</v>
      </c>
      <c r="L90" s="1"/>
      <c r="M90" s="1"/>
      <c r="N90" s="1"/>
      <c r="O90" s="1"/>
    </row>
    <row r="91" customFormat="false" ht="15" hidden="false" customHeight="false" outlineLevel="0" collapsed="false">
      <c r="A91" s="8" t="s">
        <v>191</v>
      </c>
      <c r="B91" s="9" t="n">
        <v>86</v>
      </c>
      <c r="C91" s="10" t="str">
        <f aca="false">IF(B91="","Sin puntaje",IF(B91&gt;=90,"Obra maestra (90+)",IF(B91&gt;=80,"Muy bueno (80-89)",IF(B91&gt;=70,"Bueno (70-79)","Regular (&lt;70)"))))</f>
        <v>Muy bueno (80-89)</v>
      </c>
      <c r="D91" s="11" t="s">
        <v>149</v>
      </c>
      <c r="E91" s="11" t="s">
        <v>13</v>
      </c>
      <c r="F91" s="11" t="s">
        <v>24</v>
      </c>
      <c r="G91" s="11" t="s">
        <v>48</v>
      </c>
      <c r="H91" s="11" t="s">
        <v>16</v>
      </c>
      <c r="I91" s="11"/>
      <c r="J91" s="12" t="str">
        <f aca="false">HYPERLINK("https://legacy.prod.metacritic.com/browse/games/score/metascore/year/pc/filtered?year_selected=2014&amp;distribution=&amp;sort=desc&amp;view=detailed","Metacritic PC")</f>
        <v>Metacritic PC</v>
      </c>
      <c r="K91" s="11" t="s">
        <v>17</v>
      </c>
      <c r="L91" s="1"/>
      <c r="M91" s="1"/>
      <c r="N91" s="1"/>
      <c r="O91" s="1"/>
    </row>
    <row r="92" customFormat="false" ht="15" hidden="false" customHeight="false" outlineLevel="0" collapsed="false">
      <c r="A92" s="3" t="s">
        <v>192</v>
      </c>
      <c r="B92" s="4" t="n">
        <v>86</v>
      </c>
      <c r="C92" s="5" t="str">
        <f aca="false">IF(B92="","Sin puntaje",IF(B92&gt;=90,"Obra maestra (90+)",IF(B92&gt;=80,"Muy bueno (80-89)",IF(B92&gt;=70,"Bueno (70-79)","Regular (&lt;70)"))))</f>
        <v>Muy bueno (80-89)</v>
      </c>
      <c r="D92" s="6" t="s">
        <v>149</v>
      </c>
      <c r="E92" s="6" t="s">
        <v>13</v>
      </c>
      <c r="F92" s="6" t="s">
        <v>24</v>
      </c>
      <c r="G92" s="6" t="s">
        <v>48</v>
      </c>
      <c r="H92" s="6" t="s">
        <v>21</v>
      </c>
      <c r="I92" s="6" t="s">
        <v>74</v>
      </c>
      <c r="J92" s="7" t="str">
        <f aca="false">HYPERLINK("https://www.mobygames.com/game/521","MobyGames PC")</f>
        <v>MobyGames PC</v>
      </c>
      <c r="K92" s="6" t="s">
        <v>17</v>
      </c>
      <c r="L92" s="1"/>
      <c r="M92" s="1"/>
      <c r="N92" s="1"/>
      <c r="O92" s="1"/>
    </row>
    <row r="93" customFormat="false" ht="15" hidden="false" customHeight="false" outlineLevel="0" collapsed="false">
      <c r="A93" s="8" t="s">
        <v>193</v>
      </c>
      <c r="B93" s="9" t="n">
        <v>85</v>
      </c>
      <c r="C93" s="10" t="str">
        <f aca="false">IF(B93="","Sin puntaje",IF(B93&gt;=90,"Obra maestra (90+)",IF(B93&gt;=80,"Muy bueno (80-89)",IF(B93&gt;=70,"Bueno (70-79)","Regular (&lt;70)"))))</f>
        <v>Muy bueno (80-89)</v>
      </c>
      <c r="D93" s="11" t="s">
        <v>149</v>
      </c>
      <c r="E93" s="11" t="s">
        <v>13</v>
      </c>
      <c r="F93" s="11" t="s">
        <v>24</v>
      </c>
      <c r="G93" s="11" t="s">
        <v>48</v>
      </c>
      <c r="H93" s="11" t="s">
        <v>21</v>
      </c>
      <c r="I93" s="11"/>
      <c r="J93" s="12" t="str">
        <f aca="false">HYPERLINK("https://gg.deals/game/papers-please/","Metacritic PC")</f>
        <v>Metacritic PC</v>
      </c>
      <c r="K93" s="11" t="s">
        <v>17</v>
      </c>
      <c r="L93" s="1"/>
      <c r="M93" s="1"/>
      <c r="N93" s="1"/>
      <c r="O93" s="1"/>
    </row>
    <row r="94" customFormat="false" ht="23.85" hidden="false" customHeight="false" outlineLevel="0" collapsed="false">
      <c r="A94" s="3" t="s">
        <v>194</v>
      </c>
      <c r="B94" s="4" t="n">
        <v>85</v>
      </c>
      <c r="C94" s="5" t="str">
        <f aca="false">IF(B94="","Sin puntaje",IF(B94&gt;=90,"Obra maestra (90+)",IF(B94&gt;=80,"Muy bueno (80-89)",IF(B94&gt;=70,"Bueno (70-79)","Regular (&lt;70)"))))</f>
        <v>Muy bueno (80-89)</v>
      </c>
      <c r="D94" s="6" t="s">
        <v>149</v>
      </c>
      <c r="E94" s="6" t="s">
        <v>13</v>
      </c>
      <c r="F94" s="6" t="s">
        <v>24</v>
      </c>
      <c r="G94" s="6" t="s">
        <v>48</v>
      </c>
      <c r="H94" s="6" t="s">
        <v>16</v>
      </c>
      <c r="I94" s="6"/>
      <c r="J94" s="7" t="str">
        <f aca="false">HYPERLINK("https://legacy.prod.metacritic.com/browse/games/score/metascore/year/pc/filtered?year_selected=2014&amp;distribution=&amp;sort=desc&amp;view=detailed","Metacritic PC (juego base) · dudoso")</f>
        <v>Metacritic PC (juego base) · dudoso</v>
      </c>
      <c r="K94" s="6" t="s">
        <v>17</v>
      </c>
      <c r="L94" s="1"/>
      <c r="M94" s="1"/>
      <c r="N94" s="1"/>
      <c r="O94" s="1"/>
    </row>
    <row r="95" customFormat="false" ht="15" hidden="false" customHeight="false" outlineLevel="0" collapsed="false">
      <c r="A95" s="8" t="s">
        <v>195</v>
      </c>
      <c r="B95" s="9" t="n">
        <v>85</v>
      </c>
      <c r="C95" s="10" t="str">
        <f aca="false">IF(B95="","Sin puntaje",IF(B95&gt;=90,"Obra maestra (90+)",IF(B95&gt;=80,"Muy bueno (80-89)",IF(B95&gt;=70,"Bueno (70-79)","Regular (&lt;70)"))))</f>
        <v>Muy bueno (80-89)</v>
      </c>
      <c r="D95" s="11" t="s">
        <v>149</v>
      </c>
      <c r="E95" s="11" t="s">
        <v>13</v>
      </c>
      <c r="F95" s="11" t="s">
        <v>24</v>
      </c>
      <c r="G95" s="11" t="s">
        <v>48</v>
      </c>
      <c r="H95" s="11" t="s">
        <v>16</v>
      </c>
      <c r="I95" s="11"/>
      <c r="J95" s="12" t="str">
        <f aca="false">HYPERLINK("https://rawg.io/games/venture-kid/suggestions","Metacritic PC")</f>
        <v>Metacritic PC</v>
      </c>
      <c r="K95" s="11" t="s">
        <v>17</v>
      </c>
      <c r="L95" s="1"/>
      <c r="M95" s="1"/>
      <c r="N95" s="1"/>
      <c r="O95" s="1"/>
    </row>
    <row r="96" customFormat="false" ht="15" hidden="false" customHeight="false" outlineLevel="0" collapsed="false">
      <c r="A96" s="3" t="s">
        <v>196</v>
      </c>
      <c r="B96" s="4" t="n">
        <v>85</v>
      </c>
      <c r="C96" s="5" t="str">
        <f aca="false">IF(B96="","Sin puntaje",IF(B96&gt;=90,"Obra maestra (90+)",IF(B96&gt;=80,"Muy bueno (80-89)",IF(B96&gt;=70,"Bueno (70-79)","Regular (&lt;70)"))))</f>
        <v>Muy bueno (80-89)</v>
      </c>
      <c r="D96" s="6" t="s">
        <v>149</v>
      </c>
      <c r="E96" s="6" t="s">
        <v>13</v>
      </c>
      <c r="F96" s="6" t="s">
        <v>24</v>
      </c>
      <c r="G96" s="6" t="s">
        <v>48</v>
      </c>
      <c r="H96" s="6" t="s">
        <v>21</v>
      </c>
      <c r="I96" s="6" t="s">
        <v>164</v>
      </c>
      <c r="J96" s="7" t="str">
        <f aca="false">HYPERLINK("https://www.mobygames.com/game/241/dune-ii-the-building-of-a-dynasty/reviews/dos/","MobyGames PC")</f>
        <v>MobyGames PC</v>
      </c>
      <c r="K96" s="6" t="s">
        <v>17</v>
      </c>
      <c r="L96" s="1"/>
      <c r="M96" s="1"/>
      <c r="N96" s="1"/>
      <c r="O96" s="1"/>
    </row>
    <row r="97" customFormat="false" ht="15" hidden="false" customHeight="false" outlineLevel="0" collapsed="false">
      <c r="A97" s="8" t="s">
        <v>197</v>
      </c>
      <c r="B97" s="9" t="n">
        <v>85</v>
      </c>
      <c r="C97" s="10" t="str">
        <f aca="false">IF(B97="","Sin puntaje",IF(B97&gt;=90,"Obra maestra (90+)",IF(B97&gt;=80,"Muy bueno (80-89)",IF(B97&gt;=70,"Bueno (70-79)","Regular (&lt;70)"))))</f>
        <v>Muy bueno (80-89)</v>
      </c>
      <c r="D97" s="11" t="s">
        <v>149</v>
      </c>
      <c r="E97" s="11" t="s">
        <v>13</v>
      </c>
      <c r="F97" s="11" t="s">
        <v>24</v>
      </c>
      <c r="G97" s="11" t="s">
        <v>48</v>
      </c>
      <c r="H97" s="11" t="s">
        <v>21</v>
      </c>
      <c r="I97" s="11"/>
      <c r="J97" s="12" t="str">
        <f aca="false">HYPERLINK("https://www.mobygames.com/game/608/ultima-vii-the-black-gate/reviews/","MobyGames PC")</f>
        <v>MobyGames PC</v>
      </c>
      <c r="K97" s="11" t="s">
        <v>17</v>
      </c>
      <c r="L97" s="1"/>
      <c r="M97" s="1"/>
      <c r="N97" s="1"/>
      <c r="O97" s="1"/>
    </row>
    <row r="98" customFormat="false" ht="23.85" hidden="false" customHeight="false" outlineLevel="0" collapsed="false">
      <c r="A98" s="3" t="s">
        <v>198</v>
      </c>
      <c r="B98" s="4" t="n">
        <v>84</v>
      </c>
      <c r="C98" s="5" t="str">
        <f aca="false">IF(B98="","Sin puntaje",IF(B98&gt;=90,"Obra maestra (90+)",IF(B98&gt;=80,"Muy bueno (80-89)",IF(B98&gt;=70,"Bueno (70-79)","Regular (&lt;70)"))))</f>
        <v>Muy bueno (80-89)</v>
      </c>
      <c r="D98" s="6" t="s">
        <v>149</v>
      </c>
      <c r="E98" s="6" t="s">
        <v>13</v>
      </c>
      <c r="F98" s="6" t="s">
        <v>24</v>
      </c>
      <c r="G98" s="6" t="s">
        <v>152</v>
      </c>
      <c r="H98" s="6" t="s">
        <v>21</v>
      </c>
      <c r="I98" s="6"/>
      <c r="J98" s="7" t="str">
        <f aca="false">HYPERLINK("https://www.mobygames.com/game/674/theme-hospital/reviews/windows/","MobyGames PC")</f>
        <v>MobyGames PC</v>
      </c>
      <c r="K98" s="6" t="s">
        <v>17</v>
      </c>
      <c r="L98" s="1"/>
      <c r="M98" s="1"/>
      <c r="N98" s="1"/>
      <c r="O98" s="1"/>
    </row>
    <row r="99" customFormat="false" ht="15" hidden="false" customHeight="false" outlineLevel="0" collapsed="false">
      <c r="A99" s="8" t="s">
        <v>199</v>
      </c>
      <c r="B99" s="9" t="n">
        <v>84</v>
      </c>
      <c r="C99" s="10" t="str">
        <f aca="false">IF(B99="","Sin puntaje",IF(B99&gt;=90,"Obra maestra (90+)",IF(B99&gt;=80,"Muy bueno (80-89)",IF(B99&gt;=70,"Bueno (70-79)","Regular (&lt;70)"))))</f>
        <v>Muy bueno (80-89)</v>
      </c>
      <c r="D99" s="11" t="s">
        <v>149</v>
      </c>
      <c r="E99" s="11" t="s">
        <v>13</v>
      </c>
      <c r="F99" s="11" t="s">
        <v>24</v>
      </c>
      <c r="G99" s="11" t="s">
        <v>61</v>
      </c>
      <c r="H99" s="11" t="s">
        <v>21</v>
      </c>
      <c r="I99" s="11"/>
      <c r="J99" s="12" t="str">
        <f aca="false">HYPERLINK("https://www.mobygames.com/game/2283/transport-tycoon/","MobyGames PC")</f>
        <v>MobyGames PC</v>
      </c>
      <c r="K99" s="11" t="s">
        <v>17</v>
      </c>
      <c r="L99" s="1"/>
      <c r="M99" s="1"/>
      <c r="N99" s="1"/>
      <c r="O99" s="1"/>
    </row>
    <row r="100" customFormat="false" ht="23.85" hidden="false" customHeight="false" outlineLevel="0" collapsed="false">
      <c r="A100" s="3" t="s">
        <v>200</v>
      </c>
      <c r="B100" s="4" t="n">
        <v>83</v>
      </c>
      <c r="C100" s="5" t="str">
        <f aca="false">IF(B100="","Sin puntaje",IF(B100&gt;=90,"Obra maestra (90+)",IF(B100&gt;=80,"Muy bueno (80-89)",IF(B100&gt;=70,"Bueno (70-79)","Regular (&lt;70)"))))</f>
        <v>Muy bueno (80-89)</v>
      </c>
      <c r="D100" s="6" t="s">
        <v>149</v>
      </c>
      <c r="E100" s="6" t="s">
        <v>13</v>
      </c>
      <c r="F100" s="6" t="s">
        <v>24</v>
      </c>
      <c r="G100" s="6" t="s">
        <v>61</v>
      </c>
      <c r="H100" s="6" t="s">
        <v>16</v>
      </c>
      <c r="I100" s="6"/>
      <c r="J100" s="7" t="str">
        <f aca="false">HYPERLINK("https://playpile.gg/games/cave-story","Metacritic (Cave Story+) · dudoso")</f>
        <v>Metacritic (Cave Story+) · dudoso</v>
      </c>
      <c r="K100" s="6" t="s">
        <v>17</v>
      </c>
      <c r="L100" s="1"/>
      <c r="M100" s="1"/>
      <c r="N100" s="1"/>
      <c r="O100" s="1"/>
    </row>
    <row r="101" customFormat="false" ht="15" hidden="false" customHeight="false" outlineLevel="0" collapsed="false">
      <c r="A101" s="8" t="s">
        <v>201</v>
      </c>
      <c r="B101" s="9" t="n">
        <v>83</v>
      </c>
      <c r="C101" s="10" t="str">
        <f aca="false">IF(B101="","Sin puntaje",IF(B101&gt;=90,"Obra maestra (90+)",IF(B101&gt;=80,"Muy bueno (80-89)",IF(B101&gt;=70,"Bueno (70-79)","Regular (&lt;70)"))))</f>
        <v>Muy bueno (80-89)</v>
      </c>
      <c r="D101" s="11" t="s">
        <v>149</v>
      </c>
      <c r="E101" s="11" t="s">
        <v>13</v>
      </c>
      <c r="F101" s="11" t="s">
        <v>24</v>
      </c>
      <c r="G101" s="11" t="s">
        <v>48</v>
      </c>
      <c r="H101" s="11" t="s">
        <v>21</v>
      </c>
      <c r="I101" s="11"/>
      <c r="J101" s="12" t="str">
        <f aca="false">HYPERLINK("https://www.mobygames.com/game/1567/caesar-iii/reviews/","MobyGames PC")</f>
        <v>MobyGames PC</v>
      </c>
      <c r="K101" s="11" t="s">
        <v>17</v>
      </c>
      <c r="L101" s="1"/>
      <c r="M101" s="1"/>
      <c r="N101" s="1"/>
      <c r="O101" s="1"/>
    </row>
    <row r="102" customFormat="false" ht="15" hidden="false" customHeight="false" outlineLevel="0" collapsed="false">
      <c r="A102" s="3" t="s">
        <v>202</v>
      </c>
      <c r="B102" s="4" t="n">
        <v>82</v>
      </c>
      <c r="C102" s="5" t="str">
        <f aca="false">IF(B102="","Sin puntaje",IF(B102&gt;=90,"Obra maestra (90+)",IF(B102&gt;=80,"Muy bueno (80-89)",IF(B102&gt;=70,"Bueno (70-79)","Regular (&lt;70)"))))</f>
        <v>Muy bueno (80-89)</v>
      </c>
      <c r="D102" s="6" t="s">
        <v>149</v>
      </c>
      <c r="E102" s="6" t="s">
        <v>13</v>
      </c>
      <c r="F102" s="6" t="s">
        <v>24</v>
      </c>
      <c r="G102" s="6" t="s">
        <v>61</v>
      </c>
      <c r="H102" s="6" t="s">
        <v>16</v>
      </c>
      <c r="I102" s="6"/>
      <c r="J102" s="7" t="str">
        <f aca="false">HYPERLINK("https://www.mobygames.com/game/196/prince-of-persia/reviews/dos/","MobyGames PC")</f>
        <v>MobyGames PC</v>
      </c>
      <c r="K102" s="6" t="s">
        <v>17</v>
      </c>
      <c r="L102" s="1"/>
      <c r="M102" s="1"/>
      <c r="N102" s="1"/>
      <c r="O102" s="1"/>
    </row>
    <row r="103" customFormat="false" ht="15" hidden="false" customHeight="false" outlineLevel="0" collapsed="false">
      <c r="A103" s="8" t="s">
        <v>203</v>
      </c>
      <c r="B103" s="9" t="n">
        <v>81</v>
      </c>
      <c r="C103" s="10" t="str">
        <f aca="false">IF(B103="","Sin puntaje",IF(B103&gt;=90,"Obra maestra (90+)",IF(B103&gt;=80,"Muy bueno (80-89)",IF(B103&gt;=70,"Bueno (70-79)","Regular (&lt;70)"))))</f>
        <v>Muy bueno (80-89)</v>
      </c>
      <c r="D103" s="11" t="s">
        <v>149</v>
      </c>
      <c r="E103" s="11" t="s">
        <v>13</v>
      </c>
      <c r="F103" s="11" t="s">
        <v>24</v>
      </c>
      <c r="G103" s="11" t="s">
        <v>48</v>
      </c>
      <c r="H103" s="11" t="s">
        <v>16</v>
      </c>
      <c r="I103" s="11"/>
      <c r="J103" s="12" t="str">
        <f aca="false">HYPERLINK("https://www.fanatical.com/en/game/to-the-moon","Metacritic PC")</f>
        <v>Metacritic PC</v>
      </c>
      <c r="K103" s="11" t="s">
        <v>17</v>
      </c>
      <c r="L103" s="1"/>
      <c r="M103" s="1"/>
      <c r="N103" s="1"/>
      <c r="O103" s="1"/>
    </row>
    <row r="104" customFormat="false" ht="15" hidden="false" customHeight="false" outlineLevel="0" collapsed="false">
      <c r="A104" s="3" t="s">
        <v>204</v>
      </c>
      <c r="B104" s="4" t="n">
        <v>81</v>
      </c>
      <c r="C104" s="5" t="str">
        <f aca="false">IF(B104="","Sin puntaje",IF(B104&gt;=90,"Obra maestra (90+)",IF(B104&gt;=80,"Muy bueno (80-89)",IF(B104&gt;=70,"Bueno (70-79)","Regular (&lt;70)"))))</f>
        <v>Muy bueno (80-89)</v>
      </c>
      <c r="D104" s="6" t="s">
        <v>149</v>
      </c>
      <c r="E104" s="6" t="s">
        <v>13</v>
      </c>
      <c r="F104" s="6" t="s">
        <v>24</v>
      </c>
      <c r="G104" s="6" t="s">
        <v>61</v>
      </c>
      <c r="H104" s="6" t="s">
        <v>16</v>
      </c>
      <c r="I104" s="6"/>
      <c r="J104" s="7" t="str">
        <f aca="false">HYPERLINK("https://legacy.prod.metacritic.com/game/pc/vvvvvv","Metacritic PC")</f>
        <v>Metacritic PC</v>
      </c>
      <c r="K104" s="6" t="s">
        <v>17</v>
      </c>
      <c r="L104" s="1"/>
      <c r="M104" s="1"/>
      <c r="N104" s="1"/>
      <c r="O104" s="1"/>
    </row>
    <row r="105" customFormat="false" ht="15" hidden="false" customHeight="false" outlineLevel="0" collapsed="false">
      <c r="A105" s="8" t="s">
        <v>205</v>
      </c>
      <c r="B105" s="9" t="n">
        <v>81</v>
      </c>
      <c r="C105" s="10" t="str">
        <f aca="false">IF(B105="","Sin puntaje",IF(B105&gt;=90,"Obra maestra (90+)",IF(B105&gt;=80,"Muy bueno (80-89)",IF(B105&gt;=70,"Bueno (70-79)","Regular (&lt;70)"))))</f>
        <v>Muy bueno (80-89)</v>
      </c>
      <c r="D105" s="11" t="s">
        <v>149</v>
      </c>
      <c r="E105" s="11" t="s">
        <v>13</v>
      </c>
      <c r="F105" s="11" t="s">
        <v>24</v>
      </c>
      <c r="G105" s="11" t="s">
        <v>48</v>
      </c>
      <c r="H105" s="11" t="s">
        <v>16</v>
      </c>
      <c r="I105" s="11"/>
      <c r="J105" s="12" t="str">
        <f aca="false">HYPERLINK("https://www.dekudeals.com/items/nidhogg","Metacritic PC")</f>
        <v>Metacritic PC</v>
      </c>
      <c r="K105" s="11" t="s">
        <v>17</v>
      </c>
      <c r="L105" s="1"/>
      <c r="M105" s="1"/>
      <c r="N105" s="1"/>
      <c r="O105" s="1"/>
    </row>
    <row r="106" customFormat="false" ht="15" hidden="false" customHeight="false" outlineLevel="0" collapsed="false">
      <c r="A106" s="3" t="s">
        <v>206</v>
      </c>
      <c r="B106" s="4" t="n">
        <v>80</v>
      </c>
      <c r="C106" s="5" t="str">
        <f aca="false">IF(B106="","Sin puntaje",IF(B106&gt;=90,"Obra maestra (90+)",IF(B106&gt;=80,"Muy bueno (80-89)",IF(B106&gt;=70,"Bueno (70-79)","Regular (&lt;70)"))))</f>
        <v>Muy bueno (80-89)</v>
      </c>
      <c r="D106" s="6" t="s">
        <v>149</v>
      </c>
      <c r="E106" s="6" t="s">
        <v>13</v>
      </c>
      <c r="F106" s="6" t="s">
        <v>24</v>
      </c>
      <c r="G106" s="6" t="s">
        <v>48</v>
      </c>
      <c r="H106" s="6" t="s">
        <v>16</v>
      </c>
      <c r="I106" s="6"/>
      <c r="J106" s="7" t="str">
        <f aca="false">HYPERLINK("https://legacy.prod.metacritic.com/game/pc/dicey-dungeons","Metacritic PC")</f>
        <v>Metacritic PC</v>
      </c>
      <c r="K106" s="6" t="s">
        <v>17</v>
      </c>
      <c r="L106" s="1"/>
      <c r="M106" s="1"/>
      <c r="N106" s="1"/>
      <c r="O106" s="1"/>
    </row>
    <row r="107" customFormat="false" ht="15" hidden="false" customHeight="false" outlineLevel="0" collapsed="false">
      <c r="A107" s="8" t="s">
        <v>207</v>
      </c>
      <c r="B107" s="9" t="n">
        <v>80</v>
      </c>
      <c r="C107" s="10" t="str">
        <f aca="false">IF(B107="","Sin puntaje",IF(B107&gt;=90,"Obra maestra (90+)",IF(B107&gt;=80,"Muy bueno (80-89)",IF(B107&gt;=70,"Bueno (70-79)","Regular (&lt;70)"))))</f>
        <v>Muy bueno (80-89)</v>
      </c>
      <c r="D107" s="11" t="s">
        <v>149</v>
      </c>
      <c r="E107" s="11" t="s">
        <v>13</v>
      </c>
      <c r="F107" s="11" t="s">
        <v>24</v>
      </c>
      <c r="G107" s="11" t="s">
        <v>48</v>
      </c>
      <c r="H107" s="11" t="s">
        <v>16</v>
      </c>
      <c r="I107" s="11"/>
      <c r="J107" s="12" t="str">
        <f aca="false">HYPERLINK("https://legacy.prod.metacritic.com/game/pc/axiom-verge","Metacritic PC")</f>
        <v>Metacritic PC</v>
      </c>
      <c r="K107" s="11" t="s">
        <v>17</v>
      </c>
      <c r="L107" s="1"/>
      <c r="M107" s="1"/>
      <c r="N107" s="1"/>
      <c r="O107" s="1"/>
    </row>
    <row r="108" customFormat="false" ht="15" hidden="false" customHeight="false" outlineLevel="0" collapsed="false">
      <c r="A108" s="3" t="s">
        <v>208</v>
      </c>
      <c r="B108" s="4" t="n">
        <v>80</v>
      </c>
      <c r="C108" s="5" t="str">
        <f aca="false">IF(B108="","Sin puntaje",IF(B108&gt;=90,"Obra maestra (90+)",IF(B108&gt;=80,"Muy bueno (80-89)",IF(B108&gt;=70,"Bueno (70-79)","Regular (&lt;70)"))))</f>
        <v>Muy bueno (80-89)</v>
      </c>
      <c r="D108" s="6" t="s">
        <v>149</v>
      </c>
      <c r="E108" s="6" t="s">
        <v>13</v>
      </c>
      <c r="F108" s="6" t="s">
        <v>24</v>
      </c>
      <c r="G108" s="6" t="s">
        <v>48</v>
      </c>
      <c r="H108" s="6" t="s">
        <v>16</v>
      </c>
      <c r="I108" s="6"/>
      <c r="J108" s="7" t="str">
        <f aca="false">HYPERLINK("https://rawg.io/games/la-mulana-2/suggestions","Metacritic PC · dudoso")</f>
        <v>Metacritic PC · dudoso</v>
      </c>
      <c r="K108" s="6" t="s">
        <v>17</v>
      </c>
      <c r="L108" s="1"/>
      <c r="M108" s="1"/>
      <c r="N108" s="1"/>
      <c r="O108" s="1"/>
    </row>
    <row r="109" customFormat="false" ht="15" hidden="false" customHeight="false" outlineLevel="0" collapsed="false">
      <c r="A109" s="8" t="s">
        <v>209</v>
      </c>
      <c r="B109" s="9" t="n">
        <v>79</v>
      </c>
      <c r="C109" s="10" t="str">
        <f aca="false">IF(B109="","Sin puntaje",IF(B109&gt;=90,"Obra maestra (90+)",IF(B109&gt;=80,"Muy bueno (80-89)",IF(B109&gt;=70,"Bueno (70-79)","Regular (&lt;70)"))))</f>
        <v>Bueno (70-79)</v>
      </c>
      <c r="D109" s="11" t="s">
        <v>149</v>
      </c>
      <c r="E109" s="11" t="s">
        <v>13</v>
      </c>
      <c r="F109" s="11" t="s">
        <v>24</v>
      </c>
      <c r="G109" s="11" t="s">
        <v>48</v>
      </c>
      <c r="H109" s="11" t="s">
        <v>16</v>
      </c>
      <c r="I109" s="11"/>
      <c r="J109" s="12" t="str">
        <f aca="false">HYPERLINK("https://legacy.prod.metacritic.com/game/pc/gato-roboto","Metacritic PC")</f>
        <v>Metacritic PC</v>
      </c>
      <c r="K109" s="11" t="s">
        <v>17</v>
      </c>
      <c r="L109" s="1"/>
      <c r="M109" s="1"/>
      <c r="N109" s="1"/>
      <c r="O109" s="1"/>
    </row>
    <row r="110" customFormat="false" ht="15" hidden="false" customHeight="false" outlineLevel="0" collapsed="false">
      <c r="A110" s="3" t="s">
        <v>210</v>
      </c>
      <c r="B110" s="4" t="n">
        <v>78</v>
      </c>
      <c r="C110" s="5" t="str">
        <f aca="false">IF(B110="","Sin puntaje",IF(B110&gt;=90,"Obra maestra (90+)",IF(B110&gt;=80,"Muy bueno (80-89)",IF(B110&gt;=70,"Bueno (70-79)","Regular (&lt;70)"))))</f>
        <v>Bueno (70-79)</v>
      </c>
      <c r="D110" s="6" t="s">
        <v>149</v>
      </c>
      <c r="E110" s="6" t="s">
        <v>13</v>
      </c>
      <c r="F110" s="6" t="s">
        <v>24</v>
      </c>
      <c r="G110" s="6" t="s">
        <v>48</v>
      </c>
      <c r="H110" s="6" t="s">
        <v>16</v>
      </c>
      <c r="I110" s="6"/>
      <c r="J110" s="7" t="str">
        <f aca="false">HYPERLINK("https://rawg.io/games/minit-itch/suggestions","Metacritic PC")</f>
        <v>Metacritic PC</v>
      </c>
      <c r="K110" s="6" t="s">
        <v>17</v>
      </c>
      <c r="L110" s="1"/>
      <c r="M110" s="1"/>
      <c r="N110" s="1"/>
      <c r="O110" s="1"/>
    </row>
    <row r="111" customFormat="false" ht="15" hidden="false" customHeight="false" outlineLevel="0" collapsed="false">
      <c r="A111" s="8" t="s">
        <v>211</v>
      </c>
      <c r="B111" s="9" t="n">
        <v>77</v>
      </c>
      <c r="C111" s="10" t="str">
        <f aca="false">IF(B111="","Sin puntaje",IF(B111&gt;=90,"Obra maestra (90+)",IF(B111&gt;=80,"Muy bueno (80-89)",IF(B111&gt;=70,"Bueno (70-79)","Regular (&lt;70)"))))</f>
        <v>Bueno (70-79)</v>
      </c>
      <c r="D111" s="11" t="s">
        <v>149</v>
      </c>
      <c r="E111" s="11" t="s">
        <v>13</v>
      </c>
      <c r="F111" s="11" t="s">
        <v>24</v>
      </c>
      <c r="G111" s="11" t="s">
        <v>48</v>
      </c>
      <c r="H111" s="11" t="s">
        <v>16</v>
      </c>
      <c r="I111" s="11"/>
      <c r="J111" s="12" t="str">
        <f aca="false">HYPERLINK("https://gg.deals/game/lisa/","Metacritic PC")</f>
        <v>Metacritic PC</v>
      </c>
      <c r="K111" s="11" t="s">
        <v>17</v>
      </c>
      <c r="L111" s="1"/>
      <c r="M111" s="1"/>
      <c r="N111" s="1"/>
      <c r="O111" s="1"/>
    </row>
    <row r="112" customFormat="false" ht="15" hidden="false" customHeight="false" outlineLevel="0" collapsed="false">
      <c r="A112" s="3" t="s">
        <v>212</v>
      </c>
      <c r="B112" s="4" t="n">
        <v>77</v>
      </c>
      <c r="C112" s="5" t="str">
        <f aca="false">IF(B112="","Sin puntaje",IF(B112&gt;=90,"Obra maestra (90+)",IF(B112&gt;=80,"Muy bueno (80-89)",IF(B112&gt;=70,"Bueno (70-79)","Regular (&lt;70)"))))</f>
        <v>Bueno (70-79)</v>
      </c>
      <c r="D112" s="6" t="s">
        <v>149</v>
      </c>
      <c r="E112" s="6" t="s">
        <v>13</v>
      </c>
      <c r="F112" s="6" t="s">
        <v>24</v>
      </c>
      <c r="G112" s="6" t="s">
        <v>48</v>
      </c>
      <c r="H112" s="6" t="s">
        <v>16</v>
      </c>
      <c r="I112" s="6"/>
      <c r="J112" s="7" t="str">
        <f aca="false">HYPERLINK("https://playpile.gg/games/risk-of-rain","Metacritic PC")</f>
        <v>Metacritic PC</v>
      </c>
      <c r="K112" s="6" t="s">
        <v>17</v>
      </c>
      <c r="L112" s="1"/>
      <c r="M112" s="1"/>
      <c r="N112" s="1"/>
      <c r="O112" s="1"/>
    </row>
    <row r="113" customFormat="false" ht="15" hidden="false" customHeight="false" outlineLevel="0" collapsed="false">
      <c r="A113" s="8" t="s">
        <v>213</v>
      </c>
      <c r="B113" s="9" t="n">
        <v>77</v>
      </c>
      <c r="C113" s="10" t="str">
        <f aca="false">IF(B113="","Sin puntaje",IF(B113&gt;=90,"Obra maestra (90+)",IF(B113&gt;=80,"Muy bueno (80-89)",IF(B113&gt;=70,"Bueno (70-79)","Regular (&lt;70)"))))</f>
        <v>Bueno (70-79)</v>
      </c>
      <c r="D113" s="11" t="s">
        <v>149</v>
      </c>
      <c r="E113" s="11" t="s">
        <v>13</v>
      </c>
      <c r="F113" s="11" t="s">
        <v>24</v>
      </c>
      <c r="G113" s="11" t="s">
        <v>48</v>
      </c>
      <c r="H113" s="11" t="s">
        <v>72</v>
      </c>
      <c r="I113" s="11"/>
      <c r="J113" s="12" t="str">
        <f aca="false">HYPERLINK("https://en.wikipedia.org/wiki/Arx_Fatalis","Metacritic PC")</f>
        <v>Metacritic PC</v>
      </c>
      <c r="K113" s="11" t="s">
        <v>17</v>
      </c>
      <c r="L113" s="1"/>
      <c r="M113" s="1"/>
      <c r="N113" s="1"/>
      <c r="O113" s="1"/>
    </row>
    <row r="114" customFormat="false" ht="15" hidden="false" customHeight="false" outlineLevel="0" collapsed="false">
      <c r="A114" s="3" t="s">
        <v>214</v>
      </c>
      <c r="B114" s="4" t="n">
        <v>74</v>
      </c>
      <c r="C114" s="5" t="str">
        <f aca="false">IF(B114="","Sin puntaje",IF(B114&gt;=90,"Obra maestra (90+)",IF(B114&gt;=80,"Muy bueno (80-89)",IF(B114&gt;=70,"Bueno (70-79)","Regular (&lt;70)"))))</f>
        <v>Bueno (70-79)</v>
      </c>
      <c r="D114" s="6" t="s">
        <v>149</v>
      </c>
      <c r="E114" s="6" t="s">
        <v>13</v>
      </c>
      <c r="F114" s="6" t="s">
        <v>24</v>
      </c>
      <c r="G114" s="6" t="s">
        <v>48</v>
      </c>
      <c r="H114" s="6" t="s">
        <v>21</v>
      </c>
      <c r="I114" s="6"/>
      <c r="J114" s="7" t="str">
        <f aca="false">HYPERLINK("https://vgtimes.com/games/rollercoaster-tycoon-2/","Metacritic PC")</f>
        <v>Metacritic PC</v>
      </c>
      <c r="K114" s="6" t="s">
        <v>17</v>
      </c>
      <c r="L114" s="1"/>
      <c r="M114" s="1"/>
      <c r="N114" s="1"/>
      <c r="O114" s="1"/>
    </row>
    <row r="115" customFormat="false" ht="15" hidden="false" customHeight="false" outlineLevel="0" collapsed="false">
      <c r="A115" s="8" t="s">
        <v>215</v>
      </c>
      <c r="B115" s="9" t="n">
        <v>72</v>
      </c>
      <c r="C115" s="10" t="str">
        <f aca="false">IF(B115="","Sin puntaje",IF(B115&gt;=90,"Obra maestra (90+)",IF(B115&gt;=80,"Muy bueno (80-89)",IF(B115&gt;=70,"Bueno (70-79)","Regular (&lt;70)"))))</f>
        <v>Bueno (70-79)</v>
      </c>
      <c r="D115" s="11" t="s">
        <v>149</v>
      </c>
      <c r="E115" s="11" t="s">
        <v>13</v>
      </c>
      <c r="F115" s="11" t="s">
        <v>24</v>
      </c>
      <c r="G115" s="11" t="s">
        <v>48</v>
      </c>
      <c r="H115" s="11" t="s">
        <v>16</v>
      </c>
      <c r="I115" s="11"/>
      <c r="J115" s="12" t="str">
        <f aca="false">HYPERLINK("https://opencritic.com/game/14217/luck-be-a-landlord/charts","OpenCritic")</f>
        <v>OpenCritic</v>
      </c>
      <c r="K115" s="11" t="s">
        <v>17</v>
      </c>
      <c r="L115" s="1"/>
      <c r="M115" s="1"/>
      <c r="N115" s="1"/>
      <c r="O115" s="1"/>
    </row>
    <row r="116" customFormat="false" ht="15" hidden="false" customHeight="false" outlineLevel="0" collapsed="false">
      <c r="A116" s="3" t="s">
        <v>216</v>
      </c>
      <c r="B116" s="4" t="n">
        <v>72</v>
      </c>
      <c r="C116" s="5" t="str">
        <f aca="false">IF(B116="","Sin puntaje",IF(B116&gt;=90,"Obra maestra (90+)",IF(B116&gt;=80,"Muy bueno (80-89)",IF(B116&gt;=70,"Bueno (70-79)","Regular (&lt;70)"))))</f>
        <v>Bueno (70-79)</v>
      </c>
      <c r="D116" s="6" t="s">
        <v>149</v>
      </c>
      <c r="E116" s="6" t="s">
        <v>13</v>
      </c>
      <c r="F116" s="6" t="s">
        <v>24</v>
      </c>
      <c r="G116" s="6" t="s">
        <v>48</v>
      </c>
      <c r="H116" s="6" t="s">
        <v>16</v>
      </c>
      <c r="I116" s="6"/>
      <c r="J116" s="7" t="str">
        <f aca="false">HYPERLINK("https://en.wikipedia.org/wiki/Hammerwatch","Metacritic PC")</f>
        <v>Metacritic PC</v>
      </c>
      <c r="K116" s="6" t="s">
        <v>17</v>
      </c>
      <c r="L116" s="1"/>
      <c r="M116" s="1"/>
      <c r="N116" s="1"/>
      <c r="O116" s="1"/>
    </row>
    <row r="117" customFormat="false" ht="15" hidden="false" customHeight="false" outlineLevel="0" collapsed="false">
      <c r="A117" s="8" t="s">
        <v>217</v>
      </c>
      <c r="B117" s="9" t="n">
        <v>67</v>
      </c>
      <c r="C117" s="10" t="str">
        <f aca="false">IF(B117="","Sin puntaje",IF(B117&gt;=90,"Obra maestra (90+)",IF(B117&gt;=80,"Muy bueno (80-89)",IF(B117&gt;=70,"Bueno (70-79)","Regular (&lt;70)"))))</f>
        <v>Regular (&lt;70)</v>
      </c>
      <c r="D117" s="11" t="s">
        <v>149</v>
      </c>
      <c r="E117" s="11" t="s">
        <v>13</v>
      </c>
      <c r="F117" s="11" t="s">
        <v>24</v>
      </c>
      <c r="G117" s="11" t="s">
        <v>218</v>
      </c>
      <c r="H117" s="11" t="s">
        <v>16</v>
      </c>
      <c r="I117" s="11"/>
      <c r="J117" s="12" t="str">
        <f aca="false">HYPERLINK("https://rawg.io/games/burning-knight/suggestions","Metacritic PC · dudoso")</f>
        <v>Metacritic PC · dudoso</v>
      </c>
      <c r="K117" s="11" t="s">
        <v>17</v>
      </c>
      <c r="L117" s="1"/>
      <c r="M117" s="1"/>
      <c r="N117" s="1"/>
      <c r="O117" s="1"/>
    </row>
    <row r="118" customFormat="false" ht="15" hidden="false" customHeight="false" outlineLevel="0" collapsed="false">
      <c r="A118" s="3" t="s">
        <v>219</v>
      </c>
      <c r="B118" s="4"/>
      <c r="C118" s="5" t="str">
        <f aca="false">IF(B118="","Sin puntaje",IF(B118&gt;=90,"Obra maestra (90+)",IF(B118&gt;=80,"Muy bueno (80-89)",IF(B118&gt;=70,"Bueno (70-79)","Regular (&lt;70)"))))</f>
        <v>Sin puntaje</v>
      </c>
      <c r="D118" s="6" t="s">
        <v>149</v>
      </c>
      <c r="E118" s="6" t="s">
        <v>13</v>
      </c>
      <c r="F118" s="6" t="s">
        <v>24</v>
      </c>
      <c r="G118" s="6" t="s">
        <v>48</v>
      </c>
      <c r="H118" s="6" t="s">
        <v>16</v>
      </c>
      <c r="I118" s="6"/>
      <c r="J118" s="13" t="s">
        <v>57</v>
      </c>
      <c r="K118" s="6" t="s">
        <v>17</v>
      </c>
      <c r="L118" s="1"/>
      <c r="M118" s="1"/>
      <c r="N118" s="1"/>
      <c r="O118" s="1"/>
    </row>
    <row r="119" customFormat="false" ht="15" hidden="false" customHeight="false" outlineLevel="0" collapsed="false">
      <c r="A119" s="8" t="s">
        <v>220</v>
      </c>
      <c r="B119" s="9"/>
      <c r="C119" s="10" t="str">
        <f aca="false">IF(B119="","Sin puntaje",IF(B119&gt;=90,"Obra maestra (90+)",IF(B119&gt;=80,"Muy bueno (80-89)",IF(B119&gt;=70,"Bueno (70-79)","Regular (&lt;70)"))))</f>
        <v>Sin puntaje</v>
      </c>
      <c r="D119" s="11" t="s">
        <v>149</v>
      </c>
      <c r="E119" s="11" t="s">
        <v>13</v>
      </c>
      <c r="F119" s="11" t="s">
        <v>24</v>
      </c>
      <c r="G119" s="11" t="s">
        <v>221</v>
      </c>
      <c r="H119" s="11" t="s">
        <v>16</v>
      </c>
      <c r="I119" s="11" t="s">
        <v>222</v>
      </c>
      <c r="J119" s="14" t="s">
        <v>57</v>
      </c>
      <c r="K119" s="11" t="s">
        <v>17</v>
      </c>
      <c r="L119" s="1"/>
      <c r="M119" s="1"/>
      <c r="N119" s="1"/>
      <c r="O119" s="1"/>
    </row>
    <row r="120" customFormat="false" ht="15" hidden="false" customHeight="false" outlineLevel="0" collapsed="false">
      <c r="A120" s="3" t="s">
        <v>223</v>
      </c>
      <c r="B120" s="4"/>
      <c r="C120" s="5" t="str">
        <f aca="false">IF(B120="","Sin puntaje",IF(B120&gt;=90,"Obra maestra (90+)",IF(B120&gt;=80,"Muy bueno (80-89)",IF(B120&gt;=70,"Bueno (70-79)","Regular (&lt;70)"))))</f>
        <v>Sin puntaje</v>
      </c>
      <c r="D120" s="6" t="s">
        <v>149</v>
      </c>
      <c r="E120" s="6" t="s">
        <v>13</v>
      </c>
      <c r="F120" s="6" t="s">
        <v>24</v>
      </c>
      <c r="G120" s="6" t="s">
        <v>48</v>
      </c>
      <c r="H120" s="6" t="s">
        <v>16</v>
      </c>
      <c r="I120" s="6" t="s">
        <v>224</v>
      </c>
      <c r="J120" s="13" t="s">
        <v>57</v>
      </c>
      <c r="K120" s="6" t="s">
        <v>17</v>
      </c>
      <c r="L120" s="1"/>
      <c r="M120" s="1"/>
      <c r="N120" s="1"/>
      <c r="O120" s="1"/>
    </row>
    <row r="121" customFormat="false" ht="15" hidden="false" customHeight="false" outlineLevel="0" collapsed="false">
      <c r="A121" s="8" t="s">
        <v>225</v>
      </c>
      <c r="B121" s="9"/>
      <c r="C121" s="10" t="str">
        <f aca="false">IF(B121="","Sin puntaje",IF(B121&gt;=90,"Obra maestra (90+)",IF(B121&gt;=80,"Muy bueno (80-89)",IF(B121&gt;=70,"Bueno (70-79)","Regular (&lt;70)"))))</f>
        <v>Sin puntaje</v>
      </c>
      <c r="D121" s="11" t="s">
        <v>149</v>
      </c>
      <c r="E121" s="11" t="s">
        <v>13</v>
      </c>
      <c r="F121" s="11" t="s">
        <v>24</v>
      </c>
      <c r="G121" s="11" t="s">
        <v>48</v>
      </c>
      <c r="H121" s="11" t="s">
        <v>16</v>
      </c>
      <c r="I121" s="11" t="s">
        <v>224</v>
      </c>
      <c r="J121" s="14" t="s">
        <v>57</v>
      </c>
      <c r="K121" s="11" t="s">
        <v>17</v>
      </c>
      <c r="L121" s="1"/>
      <c r="M121" s="1"/>
      <c r="N121" s="1"/>
      <c r="O121" s="1"/>
    </row>
    <row r="122" customFormat="false" ht="15" hidden="false" customHeight="false" outlineLevel="0" collapsed="false">
      <c r="A122" s="3" t="s">
        <v>226</v>
      </c>
      <c r="B122" s="4"/>
      <c r="C122" s="5" t="str">
        <f aca="false">IF(B122="","Sin puntaje",IF(B122&gt;=90,"Obra maestra (90+)",IF(B122&gt;=80,"Muy bueno (80-89)",IF(B122&gt;=70,"Bueno (70-79)","Regular (&lt;70)"))))</f>
        <v>Sin puntaje</v>
      </c>
      <c r="D122" s="6" t="s">
        <v>149</v>
      </c>
      <c r="E122" s="6" t="s">
        <v>13</v>
      </c>
      <c r="F122" s="6" t="s">
        <v>24</v>
      </c>
      <c r="G122" s="6" t="s">
        <v>48</v>
      </c>
      <c r="H122" s="6" t="s">
        <v>72</v>
      </c>
      <c r="I122" s="6" t="s">
        <v>227</v>
      </c>
      <c r="J122" s="13" t="s">
        <v>57</v>
      </c>
      <c r="K122" s="6" t="s">
        <v>17</v>
      </c>
      <c r="L122" s="1"/>
      <c r="M122" s="1"/>
      <c r="N122" s="1"/>
      <c r="O122" s="1"/>
    </row>
    <row r="123" customFormat="false" ht="15" hidden="false" customHeight="false" outlineLevel="0" collapsed="false">
      <c r="A123" s="8" t="s">
        <v>228</v>
      </c>
      <c r="B123" s="9"/>
      <c r="C123" s="10" t="str">
        <f aca="false">IF(B123="","Sin puntaje",IF(B123&gt;=90,"Obra maestra (90+)",IF(B123&gt;=80,"Muy bueno (80-89)",IF(B123&gt;=70,"Bueno (70-79)","Regular (&lt;70)"))))</f>
        <v>Sin puntaje</v>
      </c>
      <c r="D123" s="11" t="s">
        <v>149</v>
      </c>
      <c r="E123" s="11" t="s">
        <v>13</v>
      </c>
      <c r="F123" s="11" t="s">
        <v>24</v>
      </c>
      <c r="G123" s="11" t="s">
        <v>61</v>
      </c>
      <c r="H123" s="11" t="s">
        <v>16</v>
      </c>
      <c r="I123" s="11" t="s">
        <v>229</v>
      </c>
      <c r="J123" s="14" t="s">
        <v>57</v>
      </c>
      <c r="K123" s="11" t="s">
        <v>17</v>
      </c>
      <c r="L123" s="1"/>
      <c r="M123" s="1"/>
      <c r="N123" s="1"/>
      <c r="O123" s="1"/>
    </row>
    <row r="124" customFormat="false" ht="15" hidden="false" customHeight="false" outlineLevel="0" collapsed="false">
      <c r="A124" s="3" t="s">
        <v>230</v>
      </c>
      <c r="B124" s="4"/>
      <c r="C124" s="5" t="str">
        <f aca="false">IF(B124="","Sin puntaje",IF(B124&gt;=90,"Obra maestra (90+)",IF(B124&gt;=80,"Muy bueno (80-89)",IF(B124&gt;=70,"Bueno (70-79)","Regular (&lt;70)"))))</f>
        <v>Sin puntaje</v>
      </c>
      <c r="D124" s="6" t="s">
        <v>149</v>
      </c>
      <c r="E124" s="6" t="s">
        <v>13</v>
      </c>
      <c r="F124" s="6" t="s">
        <v>24</v>
      </c>
      <c r="G124" s="6" t="s">
        <v>61</v>
      </c>
      <c r="H124" s="6" t="s">
        <v>16</v>
      </c>
      <c r="I124" s="6"/>
      <c r="J124" s="13" t="s">
        <v>57</v>
      </c>
      <c r="K124" s="6" t="s">
        <v>17</v>
      </c>
      <c r="L124" s="1"/>
      <c r="M124" s="1"/>
      <c r="N124" s="1"/>
      <c r="O124" s="1"/>
    </row>
    <row r="125" customFormat="false" ht="15" hidden="false" customHeight="false" outlineLevel="0" collapsed="false">
      <c r="A125" s="8" t="s">
        <v>231</v>
      </c>
      <c r="B125" s="9"/>
      <c r="C125" s="10" t="str">
        <f aca="false">IF(B125="","Sin puntaje",IF(B125&gt;=90,"Obra maestra (90+)",IF(B125&gt;=80,"Muy bueno (80-89)",IF(B125&gt;=70,"Bueno (70-79)","Regular (&lt;70)"))))</f>
        <v>Sin puntaje</v>
      </c>
      <c r="D125" s="11" t="s">
        <v>149</v>
      </c>
      <c r="E125" s="11" t="s">
        <v>13</v>
      </c>
      <c r="F125" s="11" t="s">
        <v>24</v>
      </c>
      <c r="G125" s="11" t="s">
        <v>61</v>
      </c>
      <c r="H125" s="11" t="s">
        <v>16</v>
      </c>
      <c r="I125" s="11"/>
      <c r="J125" s="14" t="s">
        <v>57</v>
      </c>
      <c r="K125" s="11" t="s">
        <v>17</v>
      </c>
      <c r="L125" s="1"/>
      <c r="M125" s="1"/>
      <c r="N125" s="1"/>
      <c r="O125" s="1"/>
    </row>
    <row r="126" customFormat="false" ht="15" hidden="false" customHeight="false" outlineLevel="0" collapsed="false">
      <c r="A126" s="3" t="s">
        <v>232</v>
      </c>
      <c r="B126" s="4"/>
      <c r="C126" s="5" t="str">
        <f aca="false">IF(B126="","Sin puntaje",IF(B126&gt;=90,"Obra maestra (90+)",IF(B126&gt;=80,"Muy bueno (80-89)",IF(B126&gt;=70,"Bueno (70-79)","Regular (&lt;70)"))))</f>
        <v>Sin puntaje</v>
      </c>
      <c r="D126" s="6" t="s">
        <v>149</v>
      </c>
      <c r="E126" s="6" t="s">
        <v>13</v>
      </c>
      <c r="F126" s="6" t="s">
        <v>24</v>
      </c>
      <c r="G126" s="6" t="s">
        <v>61</v>
      </c>
      <c r="H126" s="6" t="s">
        <v>16</v>
      </c>
      <c r="I126" s="6" t="s">
        <v>233</v>
      </c>
      <c r="J126" s="13" t="s">
        <v>57</v>
      </c>
      <c r="K126" s="6" t="s">
        <v>17</v>
      </c>
      <c r="L126" s="1"/>
      <c r="M126" s="1"/>
      <c r="N126" s="1"/>
      <c r="O126" s="1"/>
    </row>
    <row r="127" customFormat="false" ht="15" hidden="false" customHeight="false" outlineLevel="0" collapsed="false">
      <c r="A127" s="8" t="s">
        <v>234</v>
      </c>
      <c r="B127" s="9"/>
      <c r="C127" s="10" t="str">
        <f aca="false">IF(B127="","Sin puntaje",IF(B127&gt;=90,"Obra maestra (90+)",IF(B127&gt;=80,"Muy bueno (80-89)",IF(B127&gt;=70,"Bueno (70-79)","Regular (&lt;70)"))))</f>
        <v>Sin puntaje</v>
      </c>
      <c r="D127" s="11" t="s">
        <v>149</v>
      </c>
      <c r="E127" s="11" t="s">
        <v>13</v>
      </c>
      <c r="F127" s="11" t="s">
        <v>24</v>
      </c>
      <c r="G127" s="11" t="s">
        <v>235</v>
      </c>
      <c r="H127" s="11" t="s">
        <v>16</v>
      </c>
      <c r="I127" s="11"/>
      <c r="J127" s="14" t="s">
        <v>57</v>
      </c>
      <c r="K127" s="11" t="s">
        <v>17</v>
      </c>
      <c r="L127" s="1"/>
      <c r="M127" s="1"/>
      <c r="N127" s="1"/>
      <c r="O127" s="1"/>
    </row>
    <row r="128" customFormat="false" ht="23.85" hidden="false" customHeight="false" outlineLevel="0" collapsed="false">
      <c r="A128" s="3" t="s">
        <v>236</v>
      </c>
      <c r="B128" s="4" t="n">
        <v>89</v>
      </c>
      <c r="C128" s="5" t="str">
        <f aca="false">IF(B128="","Sin puntaje",IF(B128&gt;=90,"Obra maestra (90+)",IF(B128&gt;=80,"Muy bueno (80-89)",IF(B128&gt;=70,"Bueno (70-79)","Regular (&lt;70)"))))</f>
        <v>Muy bueno (80-89)</v>
      </c>
      <c r="D128" s="6" t="s">
        <v>149</v>
      </c>
      <c r="E128" s="6" t="s">
        <v>81</v>
      </c>
      <c r="F128" s="6" t="s">
        <v>24</v>
      </c>
      <c r="G128" s="6" t="s">
        <v>48</v>
      </c>
      <c r="H128" s="6" t="s">
        <v>16</v>
      </c>
      <c r="I128" s="6" t="s">
        <v>237</v>
      </c>
      <c r="J128" s="7" t="str">
        <f aca="false">HYPERLINK("https://gamegeeker.com/games/pizza-tower-steam-pc?market=CN","Metacritic PC")</f>
        <v>Metacritic PC</v>
      </c>
      <c r="K128" s="6" t="s">
        <v>17</v>
      </c>
      <c r="L128" s="1"/>
      <c r="M128" s="1"/>
      <c r="N128" s="1"/>
      <c r="O128" s="1"/>
    </row>
    <row r="129" customFormat="false" ht="15" hidden="false" customHeight="false" outlineLevel="0" collapsed="false">
      <c r="A129" s="8" t="s">
        <v>238</v>
      </c>
      <c r="B129" s="9" t="n">
        <v>94</v>
      </c>
      <c r="C129" s="10" t="str">
        <f aca="false">IF(B129="","Sin puntaje",IF(B129&gt;=90,"Obra maestra (90+)",IF(B129&gt;=80,"Muy bueno (80-89)",IF(B129&gt;=70,"Bueno (70-79)","Regular (&lt;70)"))))</f>
        <v>Obra maestra (90+)</v>
      </c>
      <c r="D129" s="11" t="s">
        <v>239</v>
      </c>
      <c r="E129" s="11" t="s">
        <v>13</v>
      </c>
      <c r="F129" s="11" t="s">
        <v>240</v>
      </c>
      <c r="G129" s="11" t="s">
        <v>241</v>
      </c>
      <c r="H129" s="11" t="s">
        <v>16</v>
      </c>
      <c r="I129" s="11" t="s">
        <v>242</v>
      </c>
      <c r="J129" s="12" t="str">
        <f aca="false">HYPERLINK("https://pushsquare.com/news/2024/02/final-fantasy-7-rebirth-becomes-the-second-highest-rated-final-fantasy-game-of-all-time","Metacritic PS1")</f>
        <v>Metacritic PS1</v>
      </c>
      <c r="K129" s="11" t="s">
        <v>30</v>
      </c>
      <c r="L129" s="1"/>
      <c r="M129" s="1"/>
      <c r="N129" s="1"/>
      <c r="O129" s="1"/>
    </row>
    <row r="130" customFormat="false" ht="15" hidden="false" customHeight="false" outlineLevel="0" collapsed="false">
      <c r="A130" s="3" t="s">
        <v>243</v>
      </c>
      <c r="B130" s="4" t="n">
        <v>94</v>
      </c>
      <c r="C130" s="5" t="str">
        <f aca="false">IF(B130="","Sin puntaje",IF(B130&gt;=90,"Obra maestra (90+)",IF(B130&gt;=80,"Muy bueno (80-89)",IF(B130&gt;=70,"Bueno (70-79)","Regular (&lt;70)"))))</f>
        <v>Obra maestra (90+)</v>
      </c>
      <c r="D130" s="6" t="s">
        <v>239</v>
      </c>
      <c r="E130" s="6" t="s">
        <v>13</v>
      </c>
      <c r="F130" s="6" t="s">
        <v>240</v>
      </c>
      <c r="G130" s="6" t="s">
        <v>241</v>
      </c>
      <c r="H130" s="6" t="s">
        <v>16</v>
      </c>
      <c r="I130" s="6" t="s">
        <v>244</v>
      </c>
      <c r="J130" s="7" t="str">
        <f aca="false">HYPERLINK("https://konami.fandom.com/wiki/Metal_Gear_Solid","Metacritic PS1")</f>
        <v>Metacritic PS1</v>
      </c>
      <c r="K130" s="6" t="s">
        <v>30</v>
      </c>
      <c r="L130" s="1"/>
      <c r="M130" s="1"/>
      <c r="N130" s="1"/>
      <c r="O130" s="1"/>
    </row>
    <row r="131" customFormat="false" ht="15" hidden="false" customHeight="false" outlineLevel="0" collapsed="false">
      <c r="A131" s="8" t="s">
        <v>245</v>
      </c>
      <c r="B131" s="9" t="n">
        <v>94</v>
      </c>
      <c r="C131" s="10" t="str">
        <f aca="false">IF(B131="","Sin puntaje",IF(B131&gt;=90,"Obra maestra (90+)",IF(B131&gt;=80,"Muy bueno (80-89)",IF(B131&gt;=70,"Bueno (70-79)","Regular (&lt;70)"))))</f>
        <v>Obra maestra (90+)</v>
      </c>
      <c r="D131" s="11" t="s">
        <v>239</v>
      </c>
      <c r="E131" s="11" t="s">
        <v>13</v>
      </c>
      <c r="F131" s="11" t="s">
        <v>240</v>
      </c>
      <c r="G131" s="11" t="s">
        <v>241</v>
      </c>
      <c r="H131" s="11" t="s">
        <v>16</v>
      </c>
      <c r="I131" s="11" t="s">
        <v>244</v>
      </c>
      <c r="J131" s="12" t="str">
        <f aca="false">HYPERLINK("https://www.svg.com/2226012/best-ps1-games-according-metacritic/","Metacritic PS1")</f>
        <v>Metacritic PS1</v>
      </c>
      <c r="K131" s="11" t="s">
        <v>30</v>
      </c>
      <c r="L131" s="1"/>
      <c r="M131" s="1"/>
      <c r="N131" s="1"/>
      <c r="O131" s="1"/>
    </row>
    <row r="132" customFormat="false" ht="15" hidden="false" customHeight="false" outlineLevel="0" collapsed="false">
      <c r="A132" s="3" t="s">
        <v>246</v>
      </c>
      <c r="B132" s="4" t="n">
        <v>93</v>
      </c>
      <c r="C132" s="5" t="str">
        <f aca="false">IF(B132="","Sin puntaje",IF(B132&gt;=90,"Obra maestra (90+)",IF(B132&gt;=80,"Muy bueno (80-89)",IF(B132&gt;=70,"Bueno (70-79)","Regular (&lt;70)"))))</f>
        <v>Obra maestra (90+)</v>
      </c>
      <c r="D132" s="6" t="s">
        <v>239</v>
      </c>
      <c r="E132" s="6" t="s">
        <v>13</v>
      </c>
      <c r="F132" s="6" t="s">
        <v>240</v>
      </c>
      <c r="G132" s="6" t="s">
        <v>247</v>
      </c>
      <c r="H132" s="6" t="s">
        <v>16</v>
      </c>
      <c r="I132" s="6"/>
      <c r="J132" s="7" t="str">
        <f aca="false">HYPERLINK("https://www.aol.com/29-years-ago-konami-released-040100700.html","Metacritic PS1")</f>
        <v>Metacritic PS1</v>
      </c>
      <c r="K132" s="6" t="s">
        <v>30</v>
      </c>
      <c r="L132" s="1"/>
      <c r="M132" s="1"/>
      <c r="N132" s="1"/>
      <c r="O132" s="1"/>
    </row>
    <row r="133" customFormat="false" ht="15" hidden="false" customHeight="false" outlineLevel="0" collapsed="false">
      <c r="A133" s="8" t="s">
        <v>248</v>
      </c>
      <c r="B133" s="9" t="n">
        <v>93</v>
      </c>
      <c r="C133" s="10" t="str">
        <f aca="false">IF(B133="","Sin puntaje",IF(B133&gt;=90,"Obra maestra (90+)",IF(B133&gt;=80,"Muy bueno (80-89)",IF(B133&gt;=70,"Bueno (70-79)","Regular (&lt;70)"))))</f>
        <v>Obra maestra (90+)</v>
      </c>
      <c r="D133" s="11" t="s">
        <v>239</v>
      </c>
      <c r="E133" s="11" t="s">
        <v>13</v>
      </c>
      <c r="F133" s="11" t="s">
        <v>27</v>
      </c>
      <c r="G133" s="11" t="s">
        <v>48</v>
      </c>
      <c r="H133" s="11" t="s">
        <v>21</v>
      </c>
      <c r="I133" s="11"/>
      <c r="J133" s="12" t="str">
        <f aca="false">HYPERLINK("https://handwiki.org/wiki/Software:Day_of_the_Tentacle","Metacritic PC")</f>
        <v>Metacritic PC</v>
      </c>
      <c r="K133" s="11" t="s">
        <v>30</v>
      </c>
      <c r="L133" s="1"/>
      <c r="M133" s="1"/>
      <c r="N133" s="1"/>
      <c r="O133" s="1"/>
    </row>
    <row r="134" customFormat="false" ht="15" hidden="false" customHeight="false" outlineLevel="0" collapsed="false">
      <c r="A134" s="3" t="s">
        <v>249</v>
      </c>
      <c r="B134" s="4" t="n">
        <v>92</v>
      </c>
      <c r="C134" s="5" t="str">
        <f aca="false">IF(B134="","Sin puntaje",IF(B134&gt;=90,"Obra maestra (90+)",IF(B134&gt;=80,"Muy bueno (80-89)",IF(B134&gt;=70,"Bueno (70-79)","Regular (&lt;70)"))))</f>
        <v>Obra maestra (90+)</v>
      </c>
      <c r="D134" s="6" t="s">
        <v>239</v>
      </c>
      <c r="E134" s="6" t="s">
        <v>13</v>
      </c>
      <c r="F134" s="6" t="s">
        <v>240</v>
      </c>
      <c r="G134" s="6" t="s">
        <v>247</v>
      </c>
      <c r="H134" s="6" t="s">
        <v>16</v>
      </c>
      <c r="I134" s="6"/>
      <c r="J134" s="7" t="str">
        <f aca="false">HYPERLINK("https://www.thegioididong.com/game-app/top-14-tua-game-ps1-hay-huyen-thoai-cua-tuoi-tho-1366312","Metacritic PS1 · dudoso")</f>
        <v>Metacritic PS1 · dudoso</v>
      </c>
      <c r="K134" s="6" t="s">
        <v>30</v>
      </c>
      <c r="L134" s="1"/>
      <c r="M134" s="1"/>
      <c r="N134" s="1"/>
      <c r="O134" s="1"/>
    </row>
    <row r="135" customFormat="false" ht="15" hidden="false" customHeight="false" outlineLevel="0" collapsed="false">
      <c r="A135" s="8" t="s">
        <v>250</v>
      </c>
      <c r="B135" s="9" t="n">
        <v>92</v>
      </c>
      <c r="C135" s="10" t="str">
        <f aca="false">IF(B135="","Sin puntaje",IF(B135&gt;=90,"Obra maestra (90+)",IF(B135&gt;=80,"Muy bueno (80-89)",IF(B135&gt;=70,"Bueno (70-79)","Regular (&lt;70)"))))</f>
        <v>Obra maestra (90+)</v>
      </c>
      <c r="D135" s="11" t="s">
        <v>239</v>
      </c>
      <c r="E135" s="11" t="s">
        <v>13</v>
      </c>
      <c r="F135" s="11" t="s">
        <v>251</v>
      </c>
      <c r="G135" s="11" t="s">
        <v>252</v>
      </c>
      <c r="H135" s="11" t="s">
        <v>16</v>
      </c>
      <c r="I135" s="11"/>
      <c r="J135" s="12" t="str">
        <f aca="false">HYPERLINK("https://legacy.prod.metacritic.com/game/ds/chrono-trigger","Metacritic DS")</f>
        <v>Metacritic DS</v>
      </c>
      <c r="K135" s="11" t="s">
        <v>30</v>
      </c>
      <c r="L135" s="1"/>
      <c r="M135" s="1"/>
      <c r="N135" s="1"/>
      <c r="O135" s="1"/>
    </row>
    <row r="136" customFormat="false" ht="15" hidden="false" customHeight="false" outlineLevel="0" collapsed="false">
      <c r="A136" s="3" t="s">
        <v>253</v>
      </c>
      <c r="B136" s="4" t="n">
        <v>91</v>
      </c>
      <c r="C136" s="5" t="str">
        <f aca="false">IF(B136="","Sin puntaje",IF(B136&gt;=90,"Obra maestra (90+)",IF(B136&gt;=80,"Muy bueno (80-89)",IF(B136&gt;=70,"Bueno (70-79)","Regular (&lt;70)"))))</f>
        <v>Obra maestra (90+)</v>
      </c>
      <c r="D136" s="6" t="s">
        <v>239</v>
      </c>
      <c r="E136" s="6" t="s">
        <v>13</v>
      </c>
      <c r="F136" s="6" t="s">
        <v>240</v>
      </c>
      <c r="G136" s="6" t="s">
        <v>254</v>
      </c>
      <c r="H136" s="6" t="s">
        <v>16</v>
      </c>
      <c r="I136" s="6" t="s">
        <v>255</v>
      </c>
      <c r="J136" s="7" t="str">
        <f aca="false">HYPERLINK("https://primagames.com/featured/resident-evil-games-ranked-by-critic-scores","Metacritic PS1")</f>
        <v>Metacritic PS1</v>
      </c>
      <c r="K136" s="6" t="s">
        <v>30</v>
      </c>
      <c r="L136" s="1"/>
      <c r="M136" s="1"/>
      <c r="N136" s="1"/>
      <c r="O136" s="1"/>
    </row>
    <row r="137" customFormat="false" ht="15" hidden="false" customHeight="false" outlineLevel="0" collapsed="false">
      <c r="A137" s="8" t="s">
        <v>256</v>
      </c>
      <c r="B137" s="9" t="n">
        <v>90</v>
      </c>
      <c r="C137" s="10" t="str">
        <f aca="false">IF(B137="","Sin puntaje",IF(B137&gt;=90,"Obra maestra (90+)",IF(B137&gt;=80,"Muy bueno (80-89)",IF(B137&gt;=70,"Bueno (70-79)","Regular (&lt;70)"))))</f>
        <v>Obra maestra (90+)</v>
      </c>
      <c r="D137" s="11" t="s">
        <v>239</v>
      </c>
      <c r="E137" s="11" t="s">
        <v>13</v>
      </c>
      <c r="F137" s="11" t="s">
        <v>240</v>
      </c>
      <c r="G137" s="11" t="s">
        <v>241</v>
      </c>
      <c r="H137" s="11" t="s">
        <v>16</v>
      </c>
      <c r="I137" s="11" t="s">
        <v>242</v>
      </c>
      <c r="J137" s="12" t="str">
        <f aca="false">HYPERLINK("https://www.thegamer.com/playstation-ps1-jrpg-best-greatest-ranked-metacritic/","Metacritic PS1")</f>
        <v>Metacritic PS1</v>
      </c>
      <c r="K137" s="11" t="s">
        <v>30</v>
      </c>
      <c r="L137" s="1"/>
      <c r="M137" s="1"/>
      <c r="N137" s="1"/>
      <c r="O137" s="1"/>
    </row>
    <row r="138" customFormat="false" ht="15" hidden="false" customHeight="false" outlineLevel="0" collapsed="false">
      <c r="A138" s="3" t="s">
        <v>257</v>
      </c>
      <c r="B138" s="4" t="n">
        <v>89</v>
      </c>
      <c r="C138" s="5" t="str">
        <f aca="false">IF(B138="","Sin puntaje",IF(B138&gt;=90,"Obra maestra (90+)",IF(B138&gt;=80,"Muy bueno (80-89)",IF(B138&gt;=70,"Bueno (70-79)","Regular (&lt;70)"))))</f>
        <v>Muy bueno (80-89)</v>
      </c>
      <c r="D138" s="6" t="s">
        <v>239</v>
      </c>
      <c r="E138" s="6" t="s">
        <v>13</v>
      </c>
      <c r="F138" s="6" t="s">
        <v>251</v>
      </c>
      <c r="G138" s="6" t="s">
        <v>252</v>
      </c>
      <c r="H138" s="6" t="s">
        <v>16</v>
      </c>
      <c r="I138" s="6"/>
      <c r="J138" s="7" t="str">
        <f aca="false">HYPERLINK("https://vandal.elespanol.com/noticia/1350773884/estos-son-los-juegos-de-castlevania-mejor-valorados-segun-su-nota-de-metacritic-y-vandal/","Metacritic DS")</f>
        <v>Metacritic DS</v>
      </c>
      <c r="K138" s="6" t="s">
        <v>30</v>
      </c>
      <c r="L138" s="1"/>
      <c r="M138" s="1"/>
      <c r="N138" s="1"/>
      <c r="O138" s="1"/>
    </row>
    <row r="139" customFormat="false" ht="15" hidden="false" customHeight="false" outlineLevel="0" collapsed="false">
      <c r="A139" s="8" t="s">
        <v>258</v>
      </c>
      <c r="B139" s="9" t="n">
        <v>86</v>
      </c>
      <c r="C139" s="10" t="str">
        <f aca="false">IF(B139="","Sin puntaje",IF(B139&gt;=90,"Obra maestra (90+)",IF(B139&gt;=80,"Muy bueno (80-89)",IF(B139&gt;=70,"Bueno (70-79)","Regular (&lt;70)"))))</f>
        <v>Muy bueno (80-89)</v>
      </c>
      <c r="D139" s="11" t="s">
        <v>239</v>
      </c>
      <c r="E139" s="11" t="s">
        <v>13</v>
      </c>
      <c r="F139" s="11" t="s">
        <v>240</v>
      </c>
      <c r="G139" s="11" t="s">
        <v>247</v>
      </c>
      <c r="H139" s="11" t="s">
        <v>16</v>
      </c>
      <c r="I139" s="11"/>
      <c r="J139" s="12" t="str">
        <f aca="false">HYPERLINK("https://www.levelup.com/noticias/cuales-son-los-mejores-silent-hill-de-la-historia-segun-metacritic/","Metacritic PS1")</f>
        <v>Metacritic PS1</v>
      </c>
      <c r="K139" s="11" t="s">
        <v>30</v>
      </c>
      <c r="L139" s="1"/>
      <c r="M139" s="1"/>
      <c r="N139" s="1"/>
      <c r="O139" s="1"/>
    </row>
    <row r="140" customFormat="false" ht="15" hidden="false" customHeight="false" outlineLevel="0" collapsed="false">
      <c r="A140" s="3" t="s">
        <v>259</v>
      </c>
      <c r="B140" s="4" t="n">
        <v>86</v>
      </c>
      <c r="C140" s="5" t="str">
        <f aca="false">IF(B140="","Sin puntaje",IF(B140&gt;=90,"Obra maestra (90+)",IF(B140&gt;=80,"Muy bueno (80-89)",IF(B140&gt;=70,"Bueno (70-79)","Regular (&lt;70)"))))</f>
        <v>Muy bueno (80-89)</v>
      </c>
      <c r="D140" s="6" t="s">
        <v>239</v>
      </c>
      <c r="E140" s="6" t="s">
        <v>13</v>
      </c>
      <c r="F140" s="6" t="s">
        <v>27</v>
      </c>
      <c r="G140" s="6" t="s">
        <v>48</v>
      </c>
      <c r="H140" s="6" t="s">
        <v>21</v>
      </c>
      <c r="I140" s="6"/>
      <c r="J140" s="7" t="str">
        <f aca="false">HYPERLINK("https://www.metacritic.com/game/full-throttle/","Metacritic PC")</f>
        <v>Metacritic PC</v>
      </c>
      <c r="K140" s="6" t="s">
        <v>30</v>
      </c>
      <c r="L140" s="1"/>
      <c r="M140" s="1"/>
      <c r="N140" s="1"/>
      <c r="O140" s="1"/>
    </row>
    <row r="141" customFormat="false" ht="15" hidden="false" customHeight="false" outlineLevel="0" collapsed="false">
      <c r="A141" s="8" t="s">
        <v>260</v>
      </c>
      <c r="B141" s="9" t="n">
        <v>83</v>
      </c>
      <c r="C141" s="10" t="str">
        <f aca="false">IF(B141="","Sin puntaje",IF(B141&gt;=90,"Obra maestra (90+)",IF(B141&gt;=80,"Muy bueno (80-89)",IF(B141&gt;=70,"Bueno (70-79)","Regular (&lt;70)"))))</f>
        <v>Muy bueno (80-89)</v>
      </c>
      <c r="D141" s="11" t="s">
        <v>239</v>
      </c>
      <c r="E141" s="11" t="s">
        <v>13</v>
      </c>
      <c r="F141" s="11" t="s">
        <v>240</v>
      </c>
      <c r="G141" s="11" t="s">
        <v>247</v>
      </c>
      <c r="H141" s="11" t="s">
        <v>16</v>
      </c>
      <c r="I141" s="11"/>
      <c r="J141" s="12" t="str">
        <f aca="false">HYPERLINK("https://www.liquisearch.com/delita_hyral/reception","Metacritic PS1")</f>
        <v>Metacritic PS1</v>
      </c>
      <c r="K141" s="11" t="s">
        <v>30</v>
      </c>
      <c r="L141" s="1"/>
      <c r="M141" s="1"/>
      <c r="N141" s="1"/>
      <c r="O141" s="1"/>
    </row>
    <row r="142" customFormat="false" ht="15" hidden="false" customHeight="false" outlineLevel="0" collapsed="false">
      <c r="A142" s="3" t="s">
        <v>261</v>
      </c>
      <c r="B142" s="4" t="n">
        <v>82</v>
      </c>
      <c r="C142" s="5" t="str">
        <f aca="false">IF(B142="","Sin puntaje",IF(B142&gt;=90,"Obra maestra (90+)",IF(B142&gt;=80,"Muy bueno (80-89)",IF(B142&gt;=70,"Bueno (70-79)","Regular (&lt;70)"))))</f>
        <v>Muy bueno (80-89)</v>
      </c>
      <c r="D142" s="6" t="s">
        <v>239</v>
      </c>
      <c r="E142" s="6" t="s">
        <v>13</v>
      </c>
      <c r="F142" s="6" t="s">
        <v>240</v>
      </c>
      <c r="G142" s="6" t="s">
        <v>247</v>
      </c>
      <c r="H142" s="6" t="s">
        <v>16</v>
      </c>
      <c r="I142" s="6"/>
      <c r="J142" s="7" t="str">
        <f aca="false">HYPERLINK("https://www.metacritic.com/game/suikoden-ii/","Metacritic PS1")</f>
        <v>Metacritic PS1</v>
      </c>
      <c r="K142" s="6" t="s">
        <v>30</v>
      </c>
      <c r="L142" s="1"/>
      <c r="M142" s="1"/>
      <c r="N142" s="1"/>
      <c r="O142" s="1"/>
    </row>
    <row r="143" customFormat="false" ht="15" hidden="false" customHeight="false" outlineLevel="0" collapsed="false">
      <c r="A143" s="8" t="s">
        <v>262</v>
      </c>
      <c r="B143" s="9" t="n">
        <v>79</v>
      </c>
      <c r="C143" s="10" t="str">
        <f aca="false">IF(B143="","Sin puntaje",IF(B143&gt;=90,"Obra maestra (90+)",IF(B143&gt;=80,"Muy bueno (80-89)",IF(B143&gt;=70,"Bueno (70-79)","Regular (&lt;70)"))))</f>
        <v>Bueno (70-79)</v>
      </c>
      <c r="D143" s="11" t="s">
        <v>239</v>
      </c>
      <c r="E143" s="11" t="s">
        <v>13</v>
      </c>
      <c r="F143" s="11" t="s">
        <v>240</v>
      </c>
      <c r="G143" s="11" t="s">
        <v>254</v>
      </c>
      <c r="H143" s="11" t="s">
        <v>16</v>
      </c>
      <c r="I143" s="11"/>
      <c r="J143" s="12" t="str">
        <f aca="false">HYPERLINK("https://www.mobygames.com/game/4721/","MobyGames PS1")</f>
        <v>MobyGames PS1</v>
      </c>
      <c r="K143" s="11" t="s">
        <v>30</v>
      </c>
      <c r="L143" s="1"/>
      <c r="M143" s="1"/>
      <c r="N143" s="1"/>
      <c r="O143" s="1"/>
    </row>
    <row r="144" customFormat="false" ht="15" hidden="false" customHeight="false" outlineLevel="0" collapsed="false">
      <c r="A144" s="3" t="s">
        <v>263</v>
      </c>
      <c r="B144" s="4"/>
      <c r="C144" s="5" t="str">
        <f aca="false">IF(B144="","Sin puntaje",IF(B144&gt;=90,"Obra maestra (90+)",IF(B144&gt;=80,"Muy bueno (80-89)",IF(B144&gt;=70,"Bueno (70-79)","Regular (&lt;70)"))))</f>
        <v>Sin puntaje</v>
      </c>
      <c r="D144" s="6" t="s">
        <v>239</v>
      </c>
      <c r="E144" s="6" t="s">
        <v>13</v>
      </c>
      <c r="F144" s="6" t="s">
        <v>251</v>
      </c>
      <c r="G144" s="6" t="s">
        <v>252</v>
      </c>
      <c r="H144" s="6" t="s">
        <v>16</v>
      </c>
      <c r="I144" s="6"/>
      <c r="J144" s="13" t="s">
        <v>57</v>
      </c>
      <c r="K144" s="6" t="s">
        <v>30</v>
      </c>
      <c r="L144" s="1"/>
      <c r="M144" s="1"/>
      <c r="N144" s="1"/>
      <c r="O144" s="1"/>
    </row>
    <row r="145" customFormat="false" ht="15" hidden="false" customHeight="false" outlineLevel="0" collapsed="false">
      <c r="A145" s="8" t="s">
        <v>264</v>
      </c>
      <c r="B145" s="9"/>
      <c r="C145" s="10" t="str">
        <f aca="false">IF(B145="","Sin puntaje",IF(B145&gt;=90,"Obra maestra (90+)",IF(B145&gt;=80,"Muy bueno (80-89)",IF(B145&gt;=70,"Bueno (70-79)","Regular (&lt;70)"))))</f>
        <v>Sin puntaje</v>
      </c>
      <c r="D145" s="11" t="s">
        <v>239</v>
      </c>
      <c r="E145" s="11" t="s">
        <v>13</v>
      </c>
      <c r="F145" s="11" t="s">
        <v>265</v>
      </c>
      <c r="G145" s="11" t="s">
        <v>61</v>
      </c>
      <c r="H145" s="11" t="s">
        <v>16</v>
      </c>
      <c r="I145" s="11" t="s">
        <v>266</v>
      </c>
      <c r="J145" s="14" t="s">
        <v>57</v>
      </c>
      <c r="K145" s="11" t="s">
        <v>30</v>
      </c>
      <c r="L145" s="1"/>
      <c r="M145" s="1"/>
      <c r="N145" s="1"/>
      <c r="O145" s="1"/>
    </row>
    <row r="146" customFormat="false" ht="15" hidden="false" customHeight="false" outlineLevel="0" collapsed="false">
      <c r="A146" s="3" t="s">
        <v>267</v>
      </c>
      <c r="B146" s="4"/>
      <c r="C146" s="5" t="str">
        <f aca="false">IF(B146="","Sin puntaje",IF(B146&gt;=90,"Obra maestra (90+)",IF(B146&gt;=80,"Muy bueno (80-89)",IF(B146&gt;=70,"Bueno (70-79)","Regular (&lt;70)"))))</f>
        <v>Sin puntaje</v>
      </c>
      <c r="D146" s="6" t="s">
        <v>239</v>
      </c>
      <c r="E146" s="6" t="s">
        <v>13</v>
      </c>
      <c r="F146" s="6" t="s">
        <v>265</v>
      </c>
      <c r="G146" s="6" t="s">
        <v>61</v>
      </c>
      <c r="H146" s="6" t="s">
        <v>16</v>
      </c>
      <c r="I146" s="6" t="s">
        <v>266</v>
      </c>
      <c r="J146" s="13" t="s">
        <v>57</v>
      </c>
      <c r="K146" s="6" t="s">
        <v>30</v>
      </c>
      <c r="L146" s="1"/>
      <c r="M146" s="1"/>
      <c r="N146" s="1"/>
      <c r="O146" s="1"/>
    </row>
    <row r="147" customFormat="false" ht="15" hidden="false" customHeight="false" outlineLevel="0" collapsed="false">
      <c r="A147" s="8" t="s">
        <v>268</v>
      </c>
      <c r="B147" s="9"/>
      <c r="C147" s="10" t="str">
        <f aca="false">IF(B147="","Sin puntaje",IF(B147&gt;=90,"Obra maestra (90+)",IF(B147&gt;=80,"Muy bueno (80-89)",IF(B147&gt;=70,"Bueno (70-79)","Regular (&lt;70)"))))</f>
        <v>Sin puntaje</v>
      </c>
      <c r="D147" s="11" t="s">
        <v>239</v>
      </c>
      <c r="E147" s="11" t="s">
        <v>13</v>
      </c>
      <c r="F147" s="11" t="s">
        <v>265</v>
      </c>
      <c r="G147" s="11" t="s">
        <v>269</v>
      </c>
      <c r="H147" s="11" t="s">
        <v>16</v>
      </c>
      <c r="I147" s="11" t="s">
        <v>270</v>
      </c>
      <c r="J147" s="14" t="s">
        <v>57</v>
      </c>
      <c r="K147" s="11" t="s">
        <v>30</v>
      </c>
      <c r="L147" s="1"/>
      <c r="M147" s="1"/>
      <c r="N147" s="1"/>
      <c r="O147" s="1"/>
    </row>
    <row r="148" customFormat="false" ht="15" hidden="false" customHeight="false" outlineLevel="0" collapsed="false">
      <c r="A148" s="3" t="s">
        <v>271</v>
      </c>
      <c r="B148" s="4"/>
      <c r="C148" s="5" t="str">
        <f aca="false">IF(B148="","Sin puntaje",IF(B148&gt;=90,"Obra maestra (90+)",IF(B148&gt;=80,"Muy bueno (80-89)",IF(B148&gt;=70,"Bueno (70-79)","Regular (&lt;70)"))))</f>
        <v>Sin puntaje</v>
      </c>
      <c r="D148" s="6" t="s">
        <v>239</v>
      </c>
      <c r="E148" s="6" t="s">
        <v>13</v>
      </c>
      <c r="F148" s="6" t="s">
        <v>27</v>
      </c>
      <c r="G148" s="6" t="s">
        <v>48</v>
      </c>
      <c r="H148" s="6" t="s">
        <v>21</v>
      </c>
      <c r="I148" s="6"/>
      <c r="J148" s="13" t="s">
        <v>57</v>
      </c>
      <c r="K148" s="6" t="s">
        <v>30</v>
      </c>
      <c r="L148" s="1"/>
      <c r="M148" s="1"/>
      <c r="N148" s="1"/>
      <c r="O148" s="1"/>
    </row>
    <row r="149" customFormat="false" ht="15" hidden="false" customHeight="false" outlineLevel="0" collapsed="false">
      <c r="A149" s="8" t="s">
        <v>272</v>
      </c>
      <c r="B149" s="9"/>
      <c r="C149" s="10" t="str">
        <f aca="false">IF(B149="","Sin puntaje",IF(B149&gt;=90,"Obra maestra (90+)",IF(B149&gt;=80,"Muy bueno (80-89)",IF(B149&gt;=70,"Bueno (70-79)","Regular (&lt;70)"))))</f>
        <v>Sin puntaje</v>
      </c>
      <c r="D149" s="11" t="s">
        <v>239</v>
      </c>
      <c r="E149" s="11" t="s">
        <v>13</v>
      </c>
      <c r="F149" s="11" t="s">
        <v>27</v>
      </c>
      <c r="G149" s="11" t="s">
        <v>61</v>
      </c>
      <c r="H149" s="11" t="s">
        <v>21</v>
      </c>
      <c r="I149" s="11"/>
      <c r="J149" s="14" t="s">
        <v>57</v>
      </c>
      <c r="K149" s="11" t="s">
        <v>30</v>
      </c>
      <c r="L149" s="1"/>
      <c r="M149" s="1"/>
      <c r="N149" s="1"/>
      <c r="O149" s="1"/>
    </row>
    <row r="150" customFormat="false" ht="23.85" hidden="false" customHeight="false" outlineLevel="0" collapsed="false">
      <c r="A150" s="3" t="s">
        <v>273</v>
      </c>
      <c r="B150" s="4"/>
      <c r="C150" s="5" t="str">
        <f aca="false">IF(B150="","Sin puntaje",IF(B150&gt;=90,"Obra maestra (90+)",IF(B150&gt;=80,"Muy bueno (80-89)",IF(B150&gt;=70,"Bueno (70-79)","Regular (&lt;70)"))))</f>
        <v>Sin puntaje</v>
      </c>
      <c r="D150" s="6" t="s">
        <v>239</v>
      </c>
      <c r="E150" s="6" t="s">
        <v>81</v>
      </c>
      <c r="F150" s="6" t="s">
        <v>274</v>
      </c>
      <c r="G150" s="6" t="s">
        <v>150</v>
      </c>
      <c r="H150" s="6" t="s">
        <v>16</v>
      </c>
      <c r="I150" s="6" t="s">
        <v>275</v>
      </c>
      <c r="J150" s="13" t="s">
        <v>57</v>
      </c>
      <c r="K150" s="6" t="s">
        <v>30</v>
      </c>
      <c r="L150" s="1"/>
      <c r="M150" s="1"/>
      <c r="N150" s="1"/>
      <c r="O150" s="1"/>
    </row>
    <row r="151" customFormat="false" ht="23.85" hidden="false" customHeight="false" outlineLevel="0" collapsed="false">
      <c r="A151" s="8" t="s">
        <v>276</v>
      </c>
      <c r="B151" s="9" t="n">
        <v>96</v>
      </c>
      <c r="C151" s="10" t="str">
        <f aca="false">IF(B151="","Sin puntaje",IF(B151&gt;=90,"Obra maestra (90+)",IF(B151&gt;=80,"Muy bueno (80-89)",IF(B151&gt;=70,"Bueno (70-79)","Regular (&lt;70)"))))</f>
        <v>Obra maestra (90+)</v>
      </c>
      <c r="D151" s="11" t="s">
        <v>277</v>
      </c>
      <c r="E151" s="11" t="s">
        <v>103</v>
      </c>
      <c r="F151" s="11" t="s">
        <v>278</v>
      </c>
      <c r="G151" s="11" t="s">
        <v>247</v>
      </c>
      <c r="H151" s="11" t="s">
        <v>16</v>
      </c>
      <c r="I151" s="11" t="s">
        <v>279</v>
      </c>
      <c r="J151" s="12" t="str">
        <f aca="false">HYPERLINK("https://primagames.com/featured/resident-evil-games-ranked-by-critic-scores","Metacritic GameCube")</f>
        <v>Metacritic GameCube</v>
      </c>
      <c r="K151" s="11" t="s">
        <v>107</v>
      </c>
      <c r="L151" s="1"/>
      <c r="M151" s="1"/>
      <c r="N151" s="1"/>
      <c r="O151" s="1"/>
    </row>
    <row r="152" customFormat="false" ht="23.85" hidden="false" customHeight="false" outlineLevel="0" collapsed="false">
      <c r="A152" s="3" t="s">
        <v>280</v>
      </c>
      <c r="B152" s="4" t="n">
        <v>94</v>
      </c>
      <c r="C152" s="5" t="str">
        <f aca="false">IF(B152="","Sin puntaje",IF(B152&gt;=90,"Obra maestra (90+)",IF(B152&gt;=80,"Muy bueno (80-89)",IF(B152&gt;=70,"Bueno (70-79)","Regular (&lt;70)"))))</f>
        <v>Obra maestra (90+)</v>
      </c>
      <c r="D152" s="6" t="s">
        <v>277</v>
      </c>
      <c r="E152" s="6" t="s">
        <v>103</v>
      </c>
      <c r="F152" s="6" t="s">
        <v>281</v>
      </c>
      <c r="G152" s="6" t="s">
        <v>282</v>
      </c>
      <c r="H152" s="6" t="s">
        <v>16</v>
      </c>
      <c r="I152" s="6" t="s">
        <v>283</v>
      </c>
      <c r="J152" s="7" t="str">
        <f aca="false">HYPERLINK("https://en.wikipedia.org/wiki/Real_Racing_2","Metacritic iOS (versión HD)")</f>
        <v>Metacritic iOS (versión HD)</v>
      </c>
      <c r="K152" s="6" t="s">
        <v>107</v>
      </c>
      <c r="L152" s="1"/>
      <c r="M152" s="1"/>
      <c r="N152" s="1"/>
      <c r="O152" s="1"/>
    </row>
    <row r="153" customFormat="false" ht="23.85" hidden="false" customHeight="false" outlineLevel="0" collapsed="false">
      <c r="A153" s="8" t="s">
        <v>284</v>
      </c>
      <c r="B153" s="9" t="n">
        <v>88</v>
      </c>
      <c r="C153" s="10" t="str">
        <f aca="false">IF(B153="","Sin puntaje",IF(B153&gt;=90,"Obra maestra (90+)",IF(B153&gt;=80,"Muy bueno (80-89)",IF(B153&gt;=70,"Bueno (70-79)","Regular (&lt;70)"))))</f>
        <v>Muy bueno (80-89)</v>
      </c>
      <c r="D153" s="11" t="s">
        <v>277</v>
      </c>
      <c r="E153" s="11" t="s">
        <v>103</v>
      </c>
      <c r="F153" s="11" t="s">
        <v>281</v>
      </c>
      <c r="G153" s="11" t="s">
        <v>285</v>
      </c>
      <c r="H153" s="11" t="s">
        <v>16</v>
      </c>
      <c r="I153" s="11"/>
      <c r="J153" s="12" t="str">
        <f aca="false">HYPERLINK("https://vandal.elespanol.com/noticia-amp/1350777498/los-mejores-juegos-de-need-for-speed-segun-su-nota-en-metacritic-y-vandal/","Metacritic (versión de consola 2010) · dudoso")</f>
        <v>Metacritic (versión de consola 2010) · dudoso</v>
      </c>
      <c r="K153" s="11" t="s">
        <v>107</v>
      </c>
      <c r="L153" s="1"/>
      <c r="M153" s="1"/>
      <c r="N153" s="1"/>
      <c r="O153" s="1"/>
    </row>
    <row r="154" customFormat="false" ht="23.85" hidden="false" customHeight="false" outlineLevel="0" collapsed="false">
      <c r="A154" s="3" t="s">
        <v>286</v>
      </c>
      <c r="B154" s="4" t="n">
        <v>86</v>
      </c>
      <c r="C154" s="5" t="str">
        <f aca="false">IF(B154="","Sin puntaje",IF(B154&gt;=90,"Obra maestra (90+)",IF(B154&gt;=80,"Muy bueno (80-89)",IF(B154&gt;=70,"Bueno (70-79)","Regular (&lt;70)"))))</f>
        <v>Muy bueno (80-89)</v>
      </c>
      <c r="D154" s="6" t="s">
        <v>277</v>
      </c>
      <c r="E154" s="6" t="s">
        <v>103</v>
      </c>
      <c r="F154" s="6" t="s">
        <v>287</v>
      </c>
      <c r="G154" s="6" t="s">
        <v>288</v>
      </c>
      <c r="H154" s="6" t="s">
        <v>16</v>
      </c>
      <c r="I154" s="6" t="s">
        <v>289</v>
      </c>
      <c r="J154" s="7" t="str">
        <f aca="false">HYPERLINK("https://legacy.prod.metacritic.com/game/xbox-one/cuphead","Metacritic Xbox One")</f>
        <v>Metacritic Xbox One</v>
      </c>
      <c r="K154" s="6" t="s">
        <v>107</v>
      </c>
      <c r="L154" s="1"/>
      <c r="M154" s="1"/>
      <c r="N154" s="1"/>
      <c r="O154" s="1"/>
    </row>
    <row r="155" customFormat="false" ht="23.85" hidden="false" customHeight="false" outlineLevel="0" collapsed="false">
      <c r="A155" s="8" t="s">
        <v>290</v>
      </c>
      <c r="B155" s="9" t="n">
        <v>85</v>
      </c>
      <c r="C155" s="10" t="str">
        <f aca="false">IF(B155="","Sin puntaje",IF(B155&gt;=90,"Obra maestra (90+)",IF(B155&gt;=80,"Muy bueno (80-89)",IF(B155&gt;=70,"Bueno (70-79)","Regular (&lt;70)"))))</f>
        <v>Muy bueno (80-89)</v>
      </c>
      <c r="D155" s="11" t="s">
        <v>277</v>
      </c>
      <c r="E155" s="11" t="s">
        <v>103</v>
      </c>
      <c r="F155" s="11" t="s">
        <v>281</v>
      </c>
      <c r="G155" s="11" t="s">
        <v>105</v>
      </c>
      <c r="H155" s="11" t="s">
        <v>16</v>
      </c>
      <c r="I155" s="11" t="s">
        <v>291</v>
      </c>
      <c r="J155" s="12" t="str">
        <f aca="false">HYPERLINK("https://www.metacritic.com/game/spider-man-total-mayhem/","Metacritic iOS")</f>
        <v>Metacritic iOS</v>
      </c>
      <c r="K155" s="11" t="s">
        <v>107</v>
      </c>
      <c r="L155" s="1"/>
      <c r="M155" s="1"/>
      <c r="N155" s="1"/>
      <c r="O155" s="1"/>
    </row>
    <row r="156" customFormat="false" ht="23.85" hidden="false" customHeight="false" outlineLevel="0" collapsed="false">
      <c r="A156" s="3" t="s">
        <v>292</v>
      </c>
      <c r="B156" s="4"/>
      <c r="C156" s="5" t="str">
        <f aca="false">IF(B156="","Sin puntaje",IF(B156&gt;=90,"Obra maestra (90+)",IF(B156&gt;=80,"Muy bueno (80-89)",IF(B156&gt;=70,"Bueno (70-79)","Regular (&lt;70)"))))</f>
        <v>Sin puntaje</v>
      </c>
      <c r="D156" s="6" t="s">
        <v>277</v>
      </c>
      <c r="E156" s="6" t="s">
        <v>103</v>
      </c>
      <c r="F156" s="6" t="s">
        <v>281</v>
      </c>
      <c r="G156" s="6" t="s">
        <v>293</v>
      </c>
      <c r="H156" s="6" t="s">
        <v>16</v>
      </c>
      <c r="I156" s="6" t="s">
        <v>294</v>
      </c>
      <c r="J156" s="13" t="s">
        <v>57</v>
      </c>
      <c r="K156" s="6" t="s">
        <v>107</v>
      </c>
      <c r="L156" s="1"/>
      <c r="M156" s="1"/>
      <c r="N156" s="1"/>
      <c r="O156" s="1"/>
    </row>
    <row r="157" customFormat="false" ht="23.85" hidden="false" customHeight="false" outlineLevel="0" collapsed="false">
      <c r="A157" s="8" t="s">
        <v>295</v>
      </c>
      <c r="B157" s="9"/>
      <c r="C157" s="10" t="str">
        <f aca="false">IF(B157="","Sin puntaje",IF(B157&gt;=90,"Obra maestra (90+)",IF(B157&gt;=80,"Muy bueno (80-89)",IF(B157&gt;=70,"Bueno (70-79)","Regular (&lt;70)"))))</f>
        <v>Sin puntaje</v>
      </c>
      <c r="D157" s="11" t="s">
        <v>277</v>
      </c>
      <c r="E157" s="11" t="s">
        <v>103</v>
      </c>
      <c r="F157" s="11" t="s">
        <v>281</v>
      </c>
      <c r="G157" s="11" t="s">
        <v>105</v>
      </c>
      <c r="H157" s="11" t="s">
        <v>16</v>
      </c>
      <c r="I157" s="11" t="s">
        <v>296</v>
      </c>
      <c r="J157" s="14" t="s">
        <v>57</v>
      </c>
      <c r="K157" s="11" t="s">
        <v>107</v>
      </c>
      <c r="L157" s="1"/>
      <c r="M157" s="1"/>
      <c r="N157" s="1"/>
      <c r="O157" s="1"/>
    </row>
    <row r="158" customFormat="false" ht="23.85" hidden="false" customHeight="false" outlineLevel="0" collapsed="false">
      <c r="A158" s="3" t="s">
        <v>297</v>
      </c>
      <c r="B158" s="4" t="n">
        <v>89</v>
      </c>
      <c r="C158" s="5" t="str">
        <f aca="false">IF(B158="","Sin puntaje",IF(B158&gt;=90,"Obra maestra (90+)",IF(B158&gt;=80,"Muy bueno (80-89)",IF(B158&gt;=70,"Bueno (70-79)","Regular (&lt;70)"))))</f>
        <v>Muy bueno (80-89)</v>
      </c>
      <c r="D158" s="6" t="s">
        <v>298</v>
      </c>
      <c r="E158" s="6" t="s">
        <v>13</v>
      </c>
      <c r="F158" s="6" t="s">
        <v>299</v>
      </c>
      <c r="G158" s="6" t="s">
        <v>300</v>
      </c>
      <c r="H158" s="6" t="s">
        <v>16</v>
      </c>
      <c r="I158" s="6" t="s">
        <v>301</v>
      </c>
      <c r="J158" s="7" t="str">
        <f aca="false">HYPERLINK("https://maxpayne.fandom.com/wiki/Max_Payne_(Series)","Metacritic PC (versión original)")</f>
        <v>Metacritic PC (versión original)</v>
      </c>
      <c r="K158" s="6" t="s">
        <v>17</v>
      </c>
      <c r="L158" s="1"/>
      <c r="M158" s="1"/>
      <c r="N158" s="1"/>
      <c r="O158" s="1"/>
    </row>
    <row r="159" customFormat="false" ht="15" hidden="false" customHeight="false" outlineLevel="0" collapsed="false">
      <c r="A159" s="8" t="s">
        <v>302</v>
      </c>
      <c r="B159" s="9" t="n">
        <v>89</v>
      </c>
      <c r="C159" s="10" t="str">
        <f aca="false">IF(B159="","Sin puntaje",IF(B159&gt;=90,"Obra maestra (90+)",IF(B159&gt;=80,"Muy bueno (80-89)",IF(B159&gt;=70,"Bueno (70-79)","Regular (&lt;70)"))))</f>
        <v>Muy bueno (80-89)</v>
      </c>
      <c r="D159" s="11" t="s">
        <v>298</v>
      </c>
      <c r="E159" s="11" t="s">
        <v>13</v>
      </c>
      <c r="F159" s="11" t="s">
        <v>24</v>
      </c>
      <c r="G159" s="11" t="s">
        <v>303</v>
      </c>
      <c r="H159" s="11" t="s">
        <v>16</v>
      </c>
      <c r="I159" s="11" t="s">
        <v>304</v>
      </c>
      <c r="J159" s="12" t="str">
        <f aca="false">HYPERLINK("https://wnhub.io/ru/news/other/item-7141","Metacritic iOS")</f>
        <v>Metacritic iOS</v>
      </c>
      <c r="K159" s="11" t="s">
        <v>17</v>
      </c>
      <c r="L159" s="1"/>
      <c r="M159" s="1"/>
      <c r="N159" s="1"/>
      <c r="O159" s="1"/>
    </row>
    <row r="160" customFormat="false" ht="15" hidden="false" customHeight="false" outlineLevel="0" collapsed="false">
      <c r="A160" s="3" t="s">
        <v>305</v>
      </c>
      <c r="B160" s="4" t="n">
        <v>84</v>
      </c>
      <c r="C160" s="5" t="str">
        <f aca="false">IF(B160="","Sin puntaje",IF(B160&gt;=90,"Obra maestra (90+)",IF(B160&gt;=80,"Muy bueno (80-89)",IF(B160&gt;=70,"Bueno (70-79)","Regular (&lt;70)"))))</f>
        <v>Muy bueno (80-89)</v>
      </c>
      <c r="D160" s="6" t="s">
        <v>298</v>
      </c>
      <c r="E160" s="6" t="s">
        <v>13</v>
      </c>
      <c r="F160" s="6" t="s">
        <v>24</v>
      </c>
      <c r="G160" s="6" t="s">
        <v>306</v>
      </c>
      <c r="H160" s="6" t="s">
        <v>16</v>
      </c>
      <c r="I160" s="6"/>
      <c r="J160" s="7" t="str">
        <f aca="false">HYPERLINK("https://www.dekudeals.com/items/retro-bowl","Metacritic Switch · dudoso")</f>
        <v>Metacritic Switch · dudoso</v>
      </c>
      <c r="K160" s="6" t="s">
        <v>17</v>
      </c>
      <c r="L160" s="1"/>
      <c r="M160" s="1"/>
      <c r="N160" s="1"/>
      <c r="O160" s="1"/>
    </row>
    <row r="161" customFormat="false" ht="15" hidden="false" customHeight="false" outlineLevel="0" collapsed="false">
      <c r="A161" s="8" t="s">
        <v>307</v>
      </c>
      <c r="B161" s="9" t="n">
        <v>82</v>
      </c>
      <c r="C161" s="10" t="str">
        <f aca="false">IF(B161="","Sin puntaje",IF(B161&gt;=90,"Obra maestra (90+)",IF(B161&gt;=80,"Muy bueno (80-89)",IF(B161&gt;=70,"Bueno (70-79)","Regular (&lt;70)"))))</f>
        <v>Muy bueno (80-89)</v>
      </c>
      <c r="D161" s="11" t="s">
        <v>298</v>
      </c>
      <c r="E161" s="11" t="s">
        <v>13</v>
      </c>
      <c r="F161" s="11" t="s">
        <v>24</v>
      </c>
      <c r="G161" s="11" t="s">
        <v>303</v>
      </c>
      <c r="H161" s="11" t="s">
        <v>16</v>
      </c>
      <c r="I161" s="11"/>
      <c r="J161" s="12" t="str">
        <f aca="false">HYPERLINK("https://legacy.prod.metacritic.com/game/pc/loop-hero","Metacritic PC")</f>
        <v>Metacritic PC</v>
      </c>
      <c r="K161" s="11" t="s">
        <v>17</v>
      </c>
      <c r="L161" s="1"/>
      <c r="M161" s="1"/>
      <c r="N161" s="1"/>
      <c r="O161" s="1"/>
    </row>
    <row r="162" customFormat="false" ht="15" hidden="false" customHeight="false" outlineLevel="0" collapsed="false">
      <c r="A162" s="3" t="s">
        <v>308</v>
      </c>
      <c r="B162" s="4" t="n">
        <v>81</v>
      </c>
      <c r="C162" s="5" t="str">
        <f aca="false">IF(B162="","Sin puntaje",IF(B162&gt;=90,"Obra maestra (90+)",IF(B162&gt;=80,"Muy bueno (80-89)",IF(B162&gt;=70,"Bueno (70-79)","Regular (&lt;70)"))))</f>
        <v>Muy bueno (80-89)</v>
      </c>
      <c r="D162" s="6" t="s">
        <v>298</v>
      </c>
      <c r="E162" s="6" t="s">
        <v>13</v>
      </c>
      <c r="F162" s="6" t="s">
        <v>299</v>
      </c>
      <c r="G162" s="6" t="s">
        <v>306</v>
      </c>
      <c r="H162" s="6" t="s">
        <v>16</v>
      </c>
      <c r="I162" s="6"/>
      <c r="J162" s="7" t="str">
        <f aca="false">HYPERLINK("https://www.gamedeveloper.com/game-platforms/critical-reception-nintendo-level-5-s-i-professor-layton-and-the-curious-village-i-","Metacritic DS")</f>
        <v>Metacritic DS</v>
      </c>
      <c r="K162" s="6" t="s">
        <v>17</v>
      </c>
      <c r="L162" s="1"/>
      <c r="M162" s="1"/>
      <c r="N162" s="1"/>
      <c r="O162" s="1"/>
    </row>
    <row r="163" customFormat="false" ht="15" hidden="false" customHeight="false" outlineLevel="0" collapsed="false">
      <c r="A163" s="8" t="s">
        <v>309</v>
      </c>
      <c r="B163" s="9" t="n">
        <v>81</v>
      </c>
      <c r="C163" s="10" t="str">
        <f aca="false">IF(B163="","Sin puntaje",IF(B163&gt;=90,"Obra maestra (90+)",IF(B163&gt;=80,"Muy bueno (80-89)",IF(B163&gt;=70,"Bueno (70-79)","Regular (&lt;70)"))))</f>
        <v>Muy bueno (80-89)</v>
      </c>
      <c r="D163" s="11" t="s">
        <v>298</v>
      </c>
      <c r="E163" s="11" t="s">
        <v>13</v>
      </c>
      <c r="F163" s="11" t="s">
        <v>24</v>
      </c>
      <c r="G163" s="11" t="s">
        <v>310</v>
      </c>
      <c r="H163" s="11" t="s">
        <v>16</v>
      </c>
      <c r="I163" s="11"/>
      <c r="J163" s="12" t="str">
        <f aca="false">HYPERLINK("https://www.metacritic.com/game/playstation-vita/gunslugs","Metacritic PS Vita")</f>
        <v>Metacritic PS Vita</v>
      </c>
      <c r="K163" s="11" t="s">
        <v>17</v>
      </c>
      <c r="L163" s="1"/>
      <c r="M163" s="1"/>
      <c r="N163" s="1"/>
      <c r="O163" s="1"/>
    </row>
    <row r="164" customFormat="false" ht="15" hidden="false" customHeight="false" outlineLevel="0" collapsed="false">
      <c r="A164" s="3" t="s">
        <v>311</v>
      </c>
      <c r="B164" s="4"/>
      <c r="C164" s="5" t="str">
        <f aca="false">IF(B164="","Sin puntaje",IF(B164&gt;=90,"Obra maestra (90+)",IF(B164&gt;=80,"Muy bueno (80-89)",IF(B164&gt;=70,"Bueno (70-79)","Regular (&lt;70)"))))</f>
        <v>Sin puntaje</v>
      </c>
      <c r="D164" s="6" t="s">
        <v>298</v>
      </c>
      <c r="E164" s="6" t="s">
        <v>13</v>
      </c>
      <c r="F164" s="6" t="s">
        <v>24</v>
      </c>
      <c r="G164" s="6" t="s">
        <v>312</v>
      </c>
      <c r="H164" s="6" t="s">
        <v>16</v>
      </c>
      <c r="I164" s="6"/>
      <c r="J164" s="13" t="s">
        <v>57</v>
      </c>
      <c r="K164" s="6" t="s">
        <v>17</v>
      </c>
      <c r="L164" s="1"/>
      <c r="M164" s="1"/>
      <c r="N164" s="1"/>
      <c r="O164" s="1"/>
    </row>
    <row r="165" customFormat="false" ht="15" hidden="false" customHeight="false" outlineLevel="0" collapsed="false">
      <c r="A165" s="8" t="s">
        <v>313</v>
      </c>
      <c r="B165" s="9" t="n">
        <v>97</v>
      </c>
      <c r="C165" s="10" t="str">
        <f aca="false">IF(B165="","Sin puntaje",IF(B165&gt;=90,"Obra maestra (90+)",IF(B165&gt;=80,"Muy bueno (80-89)",IF(B165&gt;=70,"Bueno (70-79)","Regular (&lt;70)"))))</f>
        <v>Obra maestra (90+)</v>
      </c>
      <c r="D165" s="11" t="s">
        <v>298</v>
      </c>
      <c r="E165" s="11" t="s">
        <v>103</v>
      </c>
      <c r="F165" s="11" t="s">
        <v>314</v>
      </c>
      <c r="G165" s="11" t="s">
        <v>105</v>
      </c>
      <c r="H165" s="11" t="s">
        <v>16</v>
      </c>
      <c r="I165" s="11" t="s">
        <v>315</v>
      </c>
      <c r="J165" s="12" t="str">
        <f aca="false">HYPERLINK("https://gamedeveloper.com/business/-i-gta-iii-i-coming-to-ios-android-this-fall","Metacritic PS2")</f>
        <v>Metacritic PS2</v>
      </c>
      <c r="K165" s="11" t="s">
        <v>107</v>
      </c>
      <c r="L165" s="1"/>
      <c r="M165" s="1"/>
      <c r="N165" s="1"/>
      <c r="O165" s="1"/>
    </row>
    <row r="166" customFormat="false" ht="15" hidden="false" customHeight="false" outlineLevel="0" collapsed="false">
      <c r="A166" s="3" t="s">
        <v>316</v>
      </c>
      <c r="B166" s="4" t="n">
        <v>95</v>
      </c>
      <c r="C166" s="5" t="str">
        <f aca="false">IF(B166="","Sin puntaje",IF(B166&gt;=90,"Obra maestra (90+)",IF(B166&gt;=80,"Muy bueno (80-89)",IF(B166&gt;=70,"Bueno (70-79)","Regular (&lt;70)"))))</f>
        <v>Obra maestra (90+)</v>
      </c>
      <c r="D166" s="6" t="s">
        <v>298</v>
      </c>
      <c r="E166" s="6" t="s">
        <v>103</v>
      </c>
      <c r="F166" s="6" t="s">
        <v>314</v>
      </c>
      <c r="G166" s="6" t="s">
        <v>105</v>
      </c>
      <c r="H166" s="6" t="s">
        <v>16</v>
      </c>
      <c r="I166" s="6" t="s">
        <v>315</v>
      </c>
      <c r="J166" s="7" t="str">
        <f aca="false">HYPERLINK("https://enterpriseam.com/egypt/2026/08/27/revisiting-rockstars-2002-hit-gta-vice-city-ahead-of-the-much-anticipated-gta-vi/","Metacritic PS2 · dudoso")</f>
        <v>Metacritic PS2 · dudoso</v>
      </c>
      <c r="K166" s="6" t="s">
        <v>107</v>
      </c>
      <c r="L166" s="1"/>
      <c r="M166" s="1"/>
      <c r="N166" s="1"/>
      <c r="O166" s="1"/>
    </row>
    <row r="167" customFormat="false" ht="15" hidden="false" customHeight="false" outlineLevel="0" collapsed="false">
      <c r="A167" s="8" t="s">
        <v>317</v>
      </c>
      <c r="B167" s="9" t="n">
        <v>95</v>
      </c>
      <c r="C167" s="10" t="str">
        <f aca="false">IF(B167="","Sin puntaje",IF(B167&gt;=90,"Obra maestra (90+)",IF(B167&gt;=80,"Muy bueno (80-89)",IF(B167&gt;=70,"Bueno (70-79)","Regular (&lt;70)"))))</f>
        <v>Obra maestra (90+)</v>
      </c>
      <c r="D167" s="11" t="s">
        <v>298</v>
      </c>
      <c r="E167" s="11" t="s">
        <v>103</v>
      </c>
      <c r="F167" s="11" t="s">
        <v>314</v>
      </c>
      <c r="G167" s="11" t="s">
        <v>318</v>
      </c>
      <c r="H167" s="11" t="s">
        <v>16</v>
      </c>
      <c r="I167" s="11" t="s">
        <v>315</v>
      </c>
      <c r="J167" s="12" t="str">
        <f aca="false">HYPERLINK("https://toucharcade.com/2013/12/12/grand-theft-auto-san-andreas-review/","Metacritic PS2")</f>
        <v>Metacritic PS2</v>
      </c>
      <c r="K167" s="11" t="s">
        <v>107</v>
      </c>
      <c r="L167" s="1"/>
      <c r="M167" s="1"/>
      <c r="N167" s="1"/>
      <c r="O167" s="1"/>
    </row>
    <row r="168" customFormat="false" ht="23.85" hidden="false" customHeight="false" outlineLevel="0" collapsed="false">
      <c r="A168" s="3" t="s">
        <v>319</v>
      </c>
      <c r="B168" s="4" t="n">
        <v>93</v>
      </c>
      <c r="C168" s="5" t="str">
        <f aca="false">IF(B168="","Sin puntaje",IF(B168&gt;=90,"Obra maestra (90+)",IF(B168&gt;=80,"Muy bueno (80-89)",IF(B168&gt;=70,"Bueno (70-79)","Regular (&lt;70)"))))</f>
        <v>Obra maestra (90+)</v>
      </c>
      <c r="D168" s="6" t="s">
        <v>298</v>
      </c>
      <c r="E168" s="6" t="s">
        <v>103</v>
      </c>
      <c r="F168" s="6" t="s">
        <v>320</v>
      </c>
      <c r="G168" s="6" t="s">
        <v>321</v>
      </c>
      <c r="H168" s="6" t="s">
        <v>16</v>
      </c>
      <c r="I168" s="6" t="s">
        <v>322</v>
      </c>
      <c r="J168" s="7" t="str">
        <f aca="false">HYPERLINK("https://game8.co/articles/games/minecraft","Metacritic PC (Minecraft original)")</f>
        <v>Metacritic PC (Minecraft original)</v>
      </c>
      <c r="K168" s="6" t="s">
        <v>147</v>
      </c>
      <c r="L168" s="1"/>
      <c r="M168" s="1"/>
      <c r="N168" s="1"/>
      <c r="O168" s="1"/>
    </row>
    <row r="169" customFormat="false" ht="23.85" hidden="false" customHeight="false" outlineLevel="0" collapsed="false">
      <c r="A169" s="8" t="s">
        <v>323</v>
      </c>
      <c r="B169" s="9" t="n">
        <v>87</v>
      </c>
      <c r="C169" s="10" t="str">
        <f aca="false">IF(B169="","Sin puntaje",IF(B169&gt;=90,"Obra maestra (90+)",IF(B169&gt;=80,"Muy bueno (80-89)",IF(B169&gt;=70,"Bueno (70-79)","Regular (&lt;70)"))))</f>
        <v>Muy bueno (80-89)</v>
      </c>
      <c r="D169" s="11" t="s">
        <v>298</v>
      </c>
      <c r="E169" s="11" t="s">
        <v>103</v>
      </c>
      <c r="F169" s="11" t="s">
        <v>314</v>
      </c>
      <c r="G169" s="11" t="s">
        <v>105</v>
      </c>
      <c r="H169" s="11" t="s">
        <v>16</v>
      </c>
      <c r="I169" s="11" t="s">
        <v>324</v>
      </c>
      <c r="J169" s="12" t="str">
        <f aca="false">HYPERLINK("https://playpile.gg/games/bully","Metacritic (versión original) · dudoso")</f>
        <v>Metacritic (versión original) · dudoso</v>
      </c>
      <c r="K169" s="11" t="s">
        <v>107</v>
      </c>
      <c r="L169" s="1"/>
      <c r="M169" s="1"/>
      <c r="N169" s="1"/>
      <c r="O169" s="1"/>
    </row>
    <row r="170" customFormat="false" ht="15" hidden="false" customHeight="false" outlineLevel="0" collapsed="false">
      <c r="A170" s="3" t="s">
        <v>325</v>
      </c>
      <c r="B170" s="4" t="n">
        <v>87</v>
      </c>
      <c r="C170" s="5" t="str">
        <f aca="false">IF(B170="","Sin puntaje",IF(B170&gt;=90,"Obra maestra (90+)",IF(B170&gt;=80,"Muy bueno (80-89)",IF(B170&gt;=70,"Bueno (70-79)","Regular (&lt;70)"))))</f>
        <v>Muy bueno (80-89)</v>
      </c>
      <c r="D170" s="6" t="s">
        <v>298</v>
      </c>
      <c r="E170" s="6" t="s">
        <v>103</v>
      </c>
      <c r="F170" s="6" t="s">
        <v>314</v>
      </c>
      <c r="G170" s="6" t="s">
        <v>105</v>
      </c>
      <c r="H170" s="6" t="s">
        <v>16</v>
      </c>
      <c r="I170" s="6" t="s">
        <v>326</v>
      </c>
      <c r="J170" s="7" t="str">
        <f aca="false">HYPERLINK("https://www.metacritic.com/game/dead-space-2011/","Metacritic iOS")</f>
        <v>Metacritic iOS</v>
      </c>
      <c r="K170" s="6" t="s">
        <v>107</v>
      </c>
      <c r="L170" s="1"/>
      <c r="M170" s="1"/>
      <c r="N170" s="1"/>
      <c r="O170" s="1"/>
    </row>
    <row r="171" customFormat="false" ht="23.85" hidden="false" customHeight="false" outlineLevel="0" collapsed="false">
      <c r="A171" s="8" t="s">
        <v>327</v>
      </c>
      <c r="B171" s="9" t="n">
        <v>87</v>
      </c>
      <c r="C171" s="10" t="str">
        <f aca="false">IF(B171="","Sin puntaje",IF(B171&gt;=90,"Obra maestra (90+)",IF(B171&gt;=80,"Muy bueno (80-89)",IF(B171&gt;=70,"Bueno (70-79)","Regular (&lt;70)"))))</f>
        <v>Muy bueno (80-89)</v>
      </c>
      <c r="D171" s="11" t="s">
        <v>298</v>
      </c>
      <c r="E171" s="11" t="s">
        <v>103</v>
      </c>
      <c r="F171" s="11" t="s">
        <v>281</v>
      </c>
      <c r="G171" s="11" t="s">
        <v>105</v>
      </c>
      <c r="H171" s="11" t="s">
        <v>16</v>
      </c>
      <c r="I171" s="11" t="s">
        <v>328</v>
      </c>
      <c r="J171" s="12" t="str">
        <f aca="false">HYPERLINK("https://amp.knowyourmeme.com/memes/subcultures/baba-is-you","Metacritic (plataforma sin especificar)")</f>
        <v>Metacritic (plataforma sin especificar)</v>
      </c>
      <c r="K171" s="11" t="s">
        <v>30</v>
      </c>
      <c r="L171" s="1"/>
      <c r="M171" s="1"/>
      <c r="N171" s="1"/>
      <c r="O171" s="1"/>
    </row>
    <row r="172" customFormat="false" ht="15" hidden="false" customHeight="false" outlineLevel="0" collapsed="false">
      <c r="A172" s="3" t="s">
        <v>329</v>
      </c>
      <c r="B172" s="4" t="n">
        <v>86</v>
      </c>
      <c r="C172" s="5" t="str">
        <f aca="false">IF(B172="","Sin puntaje",IF(B172&gt;=90,"Obra maestra (90+)",IF(B172&gt;=80,"Muy bueno (80-89)",IF(B172&gt;=70,"Bueno (70-79)","Regular (&lt;70)"))))</f>
        <v>Muy bueno (80-89)</v>
      </c>
      <c r="D172" s="6" t="s">
        <v>298</v>
      </c>
      <c r="E172" s="6" t="s">
        <v>103</v>
      </c>
      <c r="F172" s="6" t="s">
        <v>314</v>
      </c>
      <c r="G172" s="6" t="s">
        <v>105</v>
      </c>
      <c r="H172" s="6" t="s">
        <v>16</v>
      </c>
      <c r="I172" s="6"/>
      <c r="J172" s="7" t="str">
        <f aca="false">HYPERLINK("https://metacritic.com/game/ios/swordigo","Metacritic iOS")</f>
        <v>Metacritic iOS</v>
      </c>
      <c r="K172" s="6" t="s">
        <v>107</v>
      </c>
      <c r="L172" s="1"/>
      <c r="M172" s="1"/>
      <c r="N172" s="1"/>
      <c r="O172" s="1"/>
    </row>
    <row r="173" customFormat="false" ht="15" hidden="false" customHeight="false" outlineLevel="0" collapsed="false">
      <c r="A173" s="8" t="s">
        <v>330</v>
      </c>
      <c r="B173" s="9" t="n">
        <v>85</v>
      </c>
      <c r="C173" s="10" t="str">
        <f aca="false">IF(B173="","Sin puntaje",IF(B173&gt;=90,"Obra maestra (90+)",IF(B173&gt;=80,"Muy bueno (80-89)",IF(B173&gt;=70,"Bueno (70-79)","Regular (&lt;70)"))))</f>
        <v>Muy bueno (80-89)</v>
      </c>
      <c r="D173" s="11" t="s">
        <v>298</v>
      </c>
      <c r="E173" s="11" t="s">
        <v>103</v>
      </c>
      <c r="F173" s="11" t="s">
        <v>314</v>
      </c>
      <c r="G173" s="11" t="s">
        <v>105</v>
      </c>
      <c r="H173" s="11" t="s">
        <v>16</v>
      </c>
      <c r="I173" s="11"/>
      <c r="J173" s="12" t="str">
        <f aca="false">HYPERLINK("https://fahrenheit.fandom.com/wiki/Fahrenheit:_Indigo_Prophecy","Metacritic PC")</f>
        <v>Metacritic PC</v>
      </c>
      <c r="K173" s="11" t="s">
        <v>107</v>
      </c>
      <c r="L173" s="1"/>
      <c r="M173" s="1"/>
      <c r="N173" s="1"/>
      <c r="O173" s="1"/>
    </row>
    <row r="174" customFormat="false" ht="15" hidden="false" customHeight="false" outlineLevel="0" collapsed="false">
      <c r="A174" s="3" t="s">
        <v>331</v>
      </c>
      <c r="B174" s="4" t="n">
        <v>84</v>
      </c>
      <c r="C174" s="5" t="str">
        <f aca="false">IF(B174="","Sin puntaje",IF(B174&gt;=90,"Obra maestra (90+)",IF(B174&gt;=80,"Muy bueno (80-89)",IF(B174&gt;=70,"Bueno (70-79)","Regular (&lt;70)"))))</f>
        <v>Muy bueno (80-89)</v>
      </c>
      <c r="D174" s="6" t="s">
        <v>298</v>
      </c>
      <c r="E174" s="6" t="s">
        <v>103</v>
      </c>
      <c r="F174" s="6" t="s">
        <v>314</v>
      </c>
      <c r="G174" s="6" t="s">
        <v>332</v>
      </c>
      <c r="H174" s="6" t="s">
        <v>16</v>
      </c>
      <c r="I174" s="6" t="s">
        <v>333</v>
      </c>
      <c r="J174" s="7" t="str">
        <f aca="false">HYPERLINK("https://www.metacritic.com/game/ios/leos-fortune/details","Metacritic iOS")</f>
        <v>Metacritic iOS</v>
      </c>
      <c r="K174" s="6" t="s">
        <v>107</v>
      </c>
      <c r="L174" s="1"/>
      <c r="M174" s="1"/>
      <c r="N174" s="1"/>
      <c r="O174" s="1"/>
    </row>
    <row r="175" customFormat="false" ht="23.85" hidden="false" customHeight="false" outlineLevel="0" collapsed="false">
      <c r="A175" s="8" t="s">
        <v>334</v>
      </c>
      <c r="B175" s="9" t="n">
        <v>82</v>
      </c>
      <c r="C175" s="10" t="str">
        <f aca="false">IF(B175="","Sin puntaje",IF(B175&gt;=90,"Obra maestra (90+)",IF(B175&gt;=80,"Muy bueno (80-89)",IF(B175&gt;=70,"Bueno (70-79)","Regular (&lt;70)"))))</f>
        <v>Muy bueno (80-89)</v>
      </c>
      <c r="D175" s="11" t="s">
        <v>298</v>
      </c>
      <c r="E175" s="11" t="s">
        <v>103</v>
      </c>
      <c r="F175" s="11" t="s">
        <v>314</v>
      </c>
      <c r="G175" s="11" t="s">
        <v>105</v>
      </c>
      <c r="H175" s="11" t="s">
        <v>16</v>
      </c>
      <c r="I175" s="11" t="s">
        <v>335</v>
      </c>
      <c r="J175" s="12" t="str">
        <f aca="false">HYPERLINK("https://nintendo.fandom.com/wiki/Thimbleweed_Park","Metacritic (plataforma sin especificar) · dudoso")</f>
        <v>Metacritic (plataforma sin especificar) · dudoso</v>
      </c>
      <c r="K175" s="11" t="s">
        <v>107</v>
      </c>
      <c r="L175" s="1"/>
      <c r="M175" s="1"/>
      <c r="N175" s="1"/>
      <c r="O175" s="1"/>
    </row>
    <row r="176" customFormat="false" ht="15" hidden="false" customHeight="false" outlineLevel="0" collapsed="false">
      <c r="A176" s="3" t="s">
        <v>336</v>
      </c>
      <c r="B176" s="4" t="n">
        <v>68</v>
      </c>
      <c r="C176" s="5" t="str">
        <f aca="false">IF(B176="","Sin puntaje",IF(B176&gt;=90,"Obra maestra (90+)",IF(B176&gt;=80,"Muy bueno (80-89)",IF(B176&gt;=70,"Bueno (70-79)","Regular (&lt;70)"))))</f>
        <v>Regular (&lt;70)</v>
      </c>
      <c r="D176" s="6" t="s">
        <v>298</v>
      </c>
      <c r="E176" s="6" t="s">
        <v>103</v>
      </c>
      <c r="F176" s="6" t="s">
        <v>314</v>
      </c>
      <c r="G176" s="6" t="s">
        <v>337</v>
      </c>
      <c r="H176" s="6" t="s">
        <v>16</v>
      </c>
      <c r="I176" s="6"/>
      <c r="J176" s="7" t="str">
        <f aca="false">HYPERLINK("https://en.wikipedia.org/wiki/Mass_Effect_Infiltrator","Metacritic iOS · dudoso")</f>
        <v>Metacritic iOS · dudoso</v>
      </c>
      <c r="K176" s="6" t="s">
        <v>107</v>
      </c>
      <c r="L176" s="1"/>
      <c r="M176" s="1"/>
      <c r="N176" s="1"/>
      <c r="O176" s="1"/>
    </row>
    <row r="177" customFormat="false" ht="15" hidden="false" customHeight="false" outlineLevel="0" collapsed="false">
      <c r="A177" s="8" t="s">
        <v>338</v>
      </c>
      <c r="B177" s="9"/>
      <c r="C177" s="10" t="str">
        <f aca="false">IF(B177="","Sin puntaje",IF(B177&gt;=90,"Obra maestra (90+)",IF(B177&gt;=80,"Muy bueno (80-89)",IF(B177&gt;=70,"Bueno (70-79)","Regular (&lt;70)"))))</f>
        <v>Sin puntaje</v>
      </c>
      <c r="D177" s="11" t="s">
        <v>298</v>
      </c>
      <c r="E177" s="11" t="s">
        <v>103</v>
      </c>
      <c r="F177" s="11" t="s">
        <v>314</v>
      </c>
      <c r="G177" s="11" t="s">
        <v>105</v>
      </c>
      <c r="H177" s="11" t="s">
        <v>16</v>
      </c>
      <c r="I177" s="11"/>
      <c r="J177" s="14" t="s">
        <v>57</v>
      </c>
      <c r="K177" s="11" t="s">
        <v>107</v>
      </c>
      <c r="L177" s="1"/>
      <c r="M177" s="1"/>
      <c r="N177" s="1"/>
      <c r="O177" s="1"/>
    </row>
    <row r="178" customFormat="false" ht="15" hidden="false" customHeight="false" outlineLevel="0" collapsed="false">
      <c r="A178" s="3" t="s">
        <v>339</v>
      </c>
      <c r="B178" s="4"/>
      <c r="C178" s="5" t="str">
        <f aca="false">IF(B178="","Sin puntaje",IF(B178&gt;=90,"Obra maestra (90+)",IF(B178&gt;=80,"Muy bueno (80-89)",IF(B178&gt;=70,"Bueno (70-79)","Regular (&lt;70)"))))</f>
        <v>Sin puntaje</v>
      </c>
      <c r="D178" s="6" t="s">
        <v>298</v>
      </c>
      <c r="E178" s="6" t="s">
        <v>103</v>
      </c>
      <c r="F178" s="6" t="s">
        <v>314</v>
      </c>
      <c r="G178" s="6" t="s">
        <v>105</v>
      </c>
      <c r="H178" s="6" t="s">
        <v>16</v>
      </c>
      <c r="I178" s="6"/>
      <c r="J178" s="13" t="s">
        <v>57</v>
      </c>
      <c r="K178" s="6" t="s">
        <v>107</v>
      </c>
      <c r="L178" s="1"/>
      <c r="M178" s="1"/>
      <c r="N178" s="1"/>
      <c r="O178" s="1"/>
    </row>
    <row r="179" customFormat="false" ht="15" hidden="false" customHeight="false" outlineLevel="0" collapsed="false">
      <c r="A179" s="8" t="s">
        <v>340</v>
      </c>
      <c r="B179" s="9" t="n">
        <v>91</v>
      </c>
      <c r="C179" s="10" t="str">
        <f aca="false">IF(B179="","Sin puntaje",IF(B179&gt;=90,"Obra maestra (90+)",IF(B179&gt;=80,"Muy bueno (80-89)",IF(B179&gt;=70,"Bueno (70-79)","Regular (&lt;70)"))))</f>
        <v>Obra maestra (90+)</v>
      </c>
      <c r="D179" s="11" t="s">
        <v>341</v>
      </c>
      <c r="E179" s="11" t="s">
        <v>103</v>
      </c>
      <c r="F179" s="11" t="s">
        <v>342</v>
      </c>
      <c r="G179" s="11" t="s">
        <v>343</v>
      </c>
      <c r="H179" s="11" t="s">
        <v>16</v>
      </c>
      <c r="I179" s="11" t="s">
        <v>344</v>
      </c>
      <c r="J179" s="12" t="str">
        <f aca="false">HYPERLINK("https://legacy.prod.metacritic.com/game/pc/ufo-50","Metacritic PC")</f>
        <v>Metacritic PC</v>
      </c>
      <c r="K179" s="11" t="s">
        <v>30</v>
      </c>
      <c r="L179" s="1"/>
      <c r="M179" s="1"/>
      <c r="N179" s="1"/>
      <c r="O179" s="1"/>
    </row>
    <row r="180" customFormat="false" ht="15" hidden="false" customHeight="false" outlineLevel="0" collapsed="false">
      <c r="A180" s="3" t="s">
        <v>345</v>
      </c>
      <c r="B180" s="4" t="n">
        <v>86</v>
      </c>
      <c r="C180" s="5" t="str">
        <f aca="false">IF(B180="","Sin puntaje",IF(B180&gt;=90,"Obra maestra (90+)",IF(B180&gt;=80,"Muy bueno (80-89)",IF(B180&gt;=70,"Bueno (70-79)","Regular (&lt;70)"))))</f>
        <v>Muy bueno (80-89)</v>
      </c>
      <c r="D180" s="6" t="s">
        <v>341</v>
      </c>
      <c r="E180" s="6" t="s">
        <v>103</v>
      </c>
      <c r="F180" s="6" t="s">
        <v>346</v>
      </c>
      <c r="G180" s="6" t="s">
        <v>48</v>
      </c>
      <c r="H180" s="6" t="s">
        <v>16</v>
      </c>
      <c r="I180" s="6" t="s">
        <v>347</v>
      </c>
      <c r="J180" s="7" t="str">
        <f aca="false">HYPERLINK("https://www.purexbox.com/news/2023/04/cassette-beasts-jumps-from-pc-to-xbox-game-pass-in-may-and-early-reviews-are-incredible","Metacritic PC")</f>
        <v>Metacritic PC</v>
      </c>
      <c r="K180" s="6" t="s">
        <v>30</v>
      </c>
      <c r="L180" s="1"/>
      <c r="M180" s="1"/>
      <c r="N180" s="1"/>
      <c r="O180" s="1"/>
    </row>
    <row r="181" customFormat="false" ht="23.85" hidden="false" customHeight="false" outlineLevel="0" collapsed="false">
      <c r="A181" s="8" t="s">
        <v>348</v>
      </c>
      <c r="B181" s="9" t="n">
        <v>84</v>
      </c>
      <c r="C181" s="10" t="str">
        <f aca="false">IF(B181="","Sin puntaje",IF(B181&gt;=90,"Obra maestra (90+)",IF(B181&gt;=80,"Muy bueno (80-89)",IF(B181&gt;=70,"Bueno (70-79)","Regular (&lt;70)"))))</f>
        <v>Muy bueno (80-89)</v>
      </c>
      <c r="D181" s="11" t="s">
        <v>341</v>
      </c>
      <c r="E181" s="11" t="s">
        <v>103</v>
      </c>
      <c r="F181" s="11" t="s">
        <v>349</v>
      </c>
      <c r="G181" s="11" t="s">
        <v>48</v>
      </c>
      <c r="H181" s="11" t="s">
        <v>16</v>
      </c>
      <c r="I181" s="11" t="s">
        <v>350</v>
      </c>
      <c r="J181" s="12" t="str">
        <f aca="false">HYPERLINK("https://gamespot.com/articles/review-roundup-for-salt-and-sacrifice/1100-6503276/","Metacritic (plataforma sin especificar)")</f>
        <v>Metacritic (plataforma sin especificar)</v>
      </c>
      <c r="K181" s="11" t="s">
        <v>30</v>
      </c>
      <c r="L181" s="1"/>
      <c r="M181" s="1"/>
      <c r="N181" s="1"/>
      <c r="O181" s="1"/>
    </row>
    <row r="182" customFormat="false" ht="15" hidden="false" customHeight="false" outlineLevel="0" collapsed="false">
      <c r="A182" s="3" t="s">
        <v>351</v>
      </c>
      <c r="B182" s="4" t="n">
        <v>83</v>
      </c>
      <c r="C182" s="5" t="str">
        <f aca="false">IF(B182="","Sin puntaje",IF(B182&gt;=90,"Obra maestra (90+)",IF(B182&gt;=80,"Muy bueno (80-89)",IF(B182&gt;=70,"Bueno (70-79)","Regular (&lt;70)"))))</f>
        <v>Muy bueno (80-89)</v>
      </c>
      <c r="D182" s="6" t="s">
        <v>341</v>
      </c>
      <c r="E182" s="6" t="s">
        <v>103</v>
      </c>
      <c r="F182" s="6" t="s">
        <v>342</v>
      </c>
      <c r="G182" s="6" t="s">
        <v>48</v>
      </c>
      <c r="H182" s="6" t="s">
        <v>16</v>
      </c>
      <c r="I182" s="6" t="s">
        <v>344</v>
      </c>
      <c r="J182" s="7" t="str">
        <f aca="false">HYPERLINK("https://katanazero.wiki.gg/wiki/Katana_Zero","Metacritic PC")</f>
        <v>Metacritic PC</v>
      </c>
      <c r="K182" s="6" t="s">
        <v>30</v>
      </c>
      <c r="L182" s="1"/>
      <c r="M182" s="1"/>
      <c r="N182" s="1"/>
      <c r="O182" s="1"/>
    </row>
    <row r="183" customFormat="false" ht="15" hidden="false" customHeight="false" outlineLevel="0" collapsed="false">
      <c r="A183" s="8" t="s">
        <v>352</v>
      </c>
      <c r="B183" s="9" t="n">
        <v>83</v>
      </c>
      <c r="C183" s="10" t="str">
        <f aca="false">IF(B183="","Sin puntaje",IF(B183&gt;=90,"Obra maestra (90+)",IF(B183&gt;=80,"Muy bueno (80-89)",IF(B183&gt;=70,"Bueno (70-79)","Regular (&lt;70)"))))</f>
        <v>Muy bueno (80-89)</v>
      </c>
      <c r="D183" s="11" t="s">
        <v>341</v>
      </c>
      <c r="E183" s="11" t="s">
        <v>103</v>
      </c>
      <c r="F183" s="11" t="s">
        <v>342</v>
      </c>
      <c r="G183" s="11" t="s">
        <v>48</v>
      </c>
      <c r="H183" s="11" t="s">
        <v>21</v>
      </c>
      <c r="I183" s="11" t="s">
        <v>344</v>
      </c>
      <c r="J183" s="12" t="str">
        <f aca="false">HYPERLINK("https://legacy.prod.metacritic.com/game/pc/gunpoint","Metacritic PC")</f>
        <v>Metacritic PC</v>
      </c>
      <c r="K183" s="11" t="s">
        <v>30</v>
      </c>
      <c r="L183" s="1"/>
      <c r="M183" s="1"/>
      <c r="N183" s="1"/>
      <c r="O183" s="1"/>
    </row>
    <row r="184" customFormat="false" ht="15" hidden="false" customHeight="false" outlineLevel="0" collapsed="false">
      <c r="A184" s="3" t="s">
        <v>353</v>
      </c>
      <c r="B184" s="4" t="n">
        <v>83</v>
      </c>
      <c r="C184" s="5" t="str">
        <f aca="false">IF(B184="","Sin puntaje",IF(B184&gt;=90,"Obra maestra (90+)",IF(B184&gt;=80,"Muy bueno (80-89)",IF(B184&gt;=70,"Bueno (70-79)","Regular (&lt;70)"))))</f>
        <v>Muy bueno (80-89)</v>
      </c>
      <c r="D184" s="6" t="s">
        <v>341</v>
      </c>
      <c r="E184" s="6" t="s">
        <v>103</v>
      </c>
      <c r="F184" s="6" t="s">
        <v>349</v>
      </c>
      <c r="G184" s="6" t="s">
        <v>48</v>
      </c>
      <c r="H184" s="6" t="s">
        <v>16</v>
      </c>
      <c r="I184" s="6" t="s">
        <v>354</v>
      </c>
      <c r="J184" s="7" t="str">
        <f aca="false">HYPERLINK("https://gg.deals/game/terraria/","Metacritic PC")</f>
        <v>Metacritic PC</v>
      </c>
      <c r="K184" s="6" t="s">
        <v>30</v>
      </c>
      <c r="L184" s="1"/>
      <c r="M184" s="1"/>
      <c r="N184" s="1"/>
      <c r="O184" s="1"/>
    </row>
    <row r="185" customFormat="false" ht="15" hidden="false" customHeight="false" outlineLevel="0" collapsed="false">
      <c r="A185" s="8" t="s">
        <v>355</v>
      </c>
      <c r="B185" s="9" t="n">
        <v>82</v>
      </c>
      <c r="C185" s="10" t="str">
        <f aca="false">IF(B185="","Sin puntaje",IF(B185&gt;=90,"Obra maestra (90+)",IF(B185&gt;=80,"Muy bueno (80-89)",IF(B185&gt;=70,"Bueno (70-79)","Regular (&lt;70)"))))</f>
        <v>Muy bueno (80-89)</v>
      </c>
      <c r="D185" s="11" t="s">
        <v>341</v>
      </c>
      <c r="E185" s="11" t="s">
        <v>103</v>
      </c>
      <c r="F185" s="11" t="s">
        <v>342</v>
      </c>
      <c r="G185" s="11" t="s">
        <v>48</v>
      </c>
      <c r="H185" s="11" t="s">
        <v>16</v>
      </c>
      <c r="I185" s="11" t="s">
        <v>344</v>
      </c>
      <c r="J185" s="12" t="str">
        <f aca="false">HYPERLINK("https://en.wikipedia.org/wiki/Momodora:_Reverie_Under_the_Moonlight","Metacritic PC")</f>
        <v>Metacritic PC</v>
      </c>
      <c r="K185" s="11" t="s">
        <v>30</v>
      </c>
      <c r="L185" s="1"/>
      <c r="M185" s="1"/>
      <c r="N185" s="1"/>
      <c r="O185" s="1"/>
    </row>
    <row r="186" customFormat="false" ht="15" hidden="false" customHeight="false" outlineLevel="0" collapsed="false">
      <c r="A186" s="3" t="s">
        <v>356</v>
      </c>
      <c r="B186" s="4" t="n">
        <v>79</v>
      </c>
      <c r="C186" s="5" t="str">
        <f aca="false">IF(B186="","Sin puntaje",IF(B186&gt;=90,"Obra maestra (90+)",IF(B186&gt;=80,"Muy bueno (80-89)",IF(B186&gt;=70,"Bueno (70-79)","Regular (&lt;70)"))))</f>
        <v>Bueno (70-79)</v>
      </c>
      <c r="D186" s="6" t="s">
        <v>341</v>
      </c>
      <c r="E186" s="6" t="s">
        <v>103</v>
      </c>
      <c r="F186" s="6" t="s">
        <v>342</v>
      </c>
      <c r="G186" s="6" t="s">
        <v>48</v>
      </c>
      <c r="H186" s="6" t="s">
        <v>21</v>
      </c>
      <c r="I186" s="6" t="s">
        <v>344</v>
      </c>
      <c r="J186" s="7" t="str">
        <f aca="false">HYPERLINK("https://legacy.prod.metacritic.com/game/pc/heat-signature","Metacritic PC")</f>
        <v>Metacritic PC</v>
      </c>
      <c r="K186" s="6" t="s">
        <v>30</v>
      </c>
      <c r="L186" s="1"/>
      <c r="M186" s="1"/>
      <c r="N186" s="1"/>
      <c r="O186" s="1"/>
    </row>
    <row r="187" customFormat="false" ht="15" hidden="false" customHeight="false" outlineLevel="0" collapsed="false">
      <c r="A187" s="8" t="s">
        <v>357</v>
      </c>
      <c r="B187" s="9" t="n">
        <v>93</v>
      </c>
      <c r="C187" s="10" t="str">
        <f aca="false">IF(B187="","Sin puntaje",IF(B187&gt;=90,"Obra maestra (90+)",IF(B187&gt;=80,"Muy bueno (80-89)",IF(B187&gt;=70,"Bueno (70-79)","Regular (&lt;70)"))))</f>
        <v>Obra maestra (90+)</v>
      </c>
      <c r="D187" s="11" t="s">
        <v>358</v>
      </c>
      <c r="E187" s="11" t="s">
        <v>115</v>
      </c>
      <c r="F187" s="11" t="s">
        <v>116</v>
      </c>
      <c r="G187" s="11" t="s">
        <v>117</v>
      </c>
      <c r="H187" s="11" t="s">
        <v>117</v>
      </c>
      <c r="I187" s="11" t="s">
        <v>359</v>
      </c>
      <c r="J187" s="12" t="str">
        <f aca="false">HYPERLINK("https://ir.take2games.com/node/27646/pdf","Metacritic PC")</f>
        <v>Metacritic PC</v>
      </c>
      <c r="K187" s="11" t="s">
        <v>30</v>
      </c>
      <c r="L187" s="1"/>
      <c r="M187" s="1"/>
      <c r="N187" s="1"/>
      <c r="O187" s="1"/>
    </row>
    <row r="188" customFormat="false" ht="15" hidden="false" customHeight="false" outlineLevel="0" collapsed="false">
      <c r="A188" s="3" t="s">
        <v>360</v>
      </c>
      <c r="B188" s="4" t="n">
        <v>91</v>
      </c>
      <c r="C188" s="5" t="str">
        <f aca="false">IF(B188="","Sin puntaje",IF(B188&gt;=90,"Obra maestra (90+)",IF(B188&gt;=80,"Muy bueno (80-89)",IF(B188&gt;=70,"Bueno (70-79)","Regular (&lt;70)"))))</f>
        <v>Obra maestra (90+)</v>
      </c>
      <c r="D188" s="6" t="s">
        <v>358</v>
      </c>
      <c r="E188" s="6" t="s">
        <v>115</v>
      </c>
      <c r="F188" s="6" t="s">
        <v>116</v>
      </c>
      <c r="G188" s="6" t="s">
        <v>117</v>
      </c>
      <c r="H188" s="6" t="s">
        <v>117</v>
      </c>
      <c r="I188" s="6" t="s">
        <v>361</v>
      </c>
      <c r="J188" s="7" t="str">
        <f aca="false">HYPERLINK("https://en.wikipedia.com/wiki/Animal_Well","Metacritic PC")</f>
        <v>Metacritic PC</v>
      </c>
      <c r="K188" s="6" t="s">
        <v>30</v>
      </c>
      <c r="L188" s="1"/>
      <c r="M188" s="1"/>
      <c r="N188" s="1"/>
      <c r="O188" s="1"/>
    </row>
    <row r="189" customFormat="false" ht="15" hidden="false" customHeight="false" outlineLevel="0" collapsed="false">
      <c r="A189" s="8" t="s">
        <v>362</v>
      </c>
      <c r="B189" s="9" t="n">
        <v>88</v>
      </c>
      <c r="C189" s="10" t="str">
        <f aca="false">IF(B189="","Sin puntaje",IF(B189&gt;=90,"Obra maestra (90+)",IF(B189&gt;=80,"Muy bueno (80-89)",IF(B189&gt;=70,"Bueno (70-79)","Regular (&lt;70)"))))</f>
        <v>Muy bueno (80-89)</v>
      </c>
      <c r="D189" s="11" t="s">
        <v>358</v>
      </c>
      <c r="E189" s="11" t="s">
        <v>115</v>
      </c>
      <c r="F189" s="11" t="s">
        <v>116</v>
      </c>
      <c r="G189" s="11" t="s">
        <v>117</v>
      </c>
      <c r="H189" s="11" t="s">
        <v>117</v>
      </c>
      <c r="I189" s="11" t="s">
        <v>363</v>
      </c>
      <c r="J189" s="12" t="str">
        <f aca="false">HYPERLINK("https://www.looper.com/411396/games-like-ori-and-the-blind-forest-you-should-play","Metacritic PC")</f>
        <v>Metacritic PC</v>
      </c>
      <c r="K189" s="11" t="s">
        <v>30</v>
      </c>
      <c r="L189" s="1"/>
      <c r="M189" s="1"/>
      <c r="N189" s="1"/>
      <c r="O189" s="1"/>
    </row>
    <row r="190" customFormat="false" ht="15" hidden="false" customHeight="false" outlineLevel="0" collapsed="false">
      <c r="A190" s="3" t="s">
        <v>364</v>
      </c>
      <c r="B190" s="4" t="n">
        <v>87</v>
      </c>
      <c r="C190" s="5" t="str">
        <f aca="false">IF(B190="","Sin puntaje",IF(B190&gt;=90,"Obra maestra (90+)",IF(B190&gt;=80,"Muy bueno (80-89)",IF(B190&gt;=70,"Bueno (70-79)","Regular (&lt;70)"))))</f>
        <v>Muy bueno (80-89)</v>
      </c>
      <c r="D190" s="6" t="s">
        <v>358</v>
      </c>
      <c r="E190" s="6" t="s">
        <v>115</v>
      </c>
      <c r="F190" s="6" t="s">
        <v>116</v>
      </c>
      <c r="G190" s="6" t="s">
        <v>117</v>
      </c>
      <c r="H190" s="6" t="s">
        <v>117</v>
      </c>
      <c r="I190" s="6" t="s">
        <v>363</v>
      </c>
      <c r="J190" s="7" t="str">
        <f aca="false">HYPERLINK("https://www.gamersunchained.com/game/sea-of-stars","Metacritic PC · dudoso")</f>
        <v>Metacritic PC · dudoso</v>
      </c>
      <c r="K190" s="6" t="s">
        <v>30</v>
      </c>
      <c r="L190" s="1"/>
      <c r="M190" s="1"/>
      <c r="N190" s="1"/>
      <c r="O190" s="1"/>
    </row>
    <row r="191" customFormat="false" ht="15" hidden="false" customHeight="false" outlineLevel="0" collapsed="false">
      <c r="A191" s="8" t="s">
        <v>365</v>
      </c>
      <c r="B191" s="9" t="n">
        <v>85</v>
      </c>
      <c r="C191" s="10" t="str">
        <f aca="false">IF(B191="","Sin puntaje",IF(B191&gt;=90,"Obra maestra (90+)",IF(B191&gt;=80,"Muy bueno (80-89)",IF(B191&gt;=70,"Bueno (70-79)","Regular (&lt;70)"))))</f>
        <v>Muy bueno (80-89)</v>
      </c>
      <c r="D191" s="11" t="s">
        <v>358</v>
      </c>
      <c r="E191" s="11" t="s">
        <v>115</v>
      </c>
      <c r="F191" s="11" t="s">
        <v>116</v>
      </c>
      <c r="G191" s="11" t="s">
        <v>117</v>
      </c>
      <c r="H191" s="11" t="s">
        <v>117</v>
      </c>
      <c r="I191" s="11" t="s">
        <v>363</v>
      </c>
      <c r="J191" s="12" t="str">
        <f aca="false">HYPERLINK("https://legacy.prod.metacritic.com/game/pc/tunic","Metacritic PC")</f>
        <v>Metacritic PC</v>
      </c>
      <c r="K191" s="11" t="s">
        <v>30</v>
      </c>
      <c r="L191" s="1"/>
      <c r="M191" s="1"/>
      <c r="N191" s="1"/>
      <c r="O191" s="1"/>
    </row>
    <row r="192" customFormat="false" ht="15" hidden="false" customHeight="false" outlineLevel="0" collapsed="false">
      <c r="A192" s="3" t="s">
        <v>366</v>
      </c>
      <c r="B192" s="4" t="n">
        <v>85</v>
      </c>
      <c r="C192" s="5" t="str">
        <f aca="false">IF(B192="","Sin puntaje",IF(B192&gt;=90,"Obra maestra (90+)",IF(B192&gt;=80,"Muy bueno (80-89)",IF(B192&gt;=70,"Bueno (70-79)","Regular (&lt;70)"))))</f>
        <v>Muy bueno (80-89)</v>
      </c>
      <c r="D192" s="6" t="s">
        <v>358</v>
      </c>
      <c r="E192" s="6" t="s">
        <v>115</v>
      </c>
      <c r="F192" s="6" t="s">
        <v>116</v>
      </c>
      <c r="G192" s="6" t="s">
        <v>117</v>
      </c>
      <c r="H192" s="6" t="s">
        <v>117</v>
      </c>
      <c r="I192" s="6" t="s">
        <v>363</v>
      </c>
      <c r="J192" s="7" t="str">
        <f aca="false">HYPERLINK("https://gg.deals/ca/game/inscryption/","Metacritic PC · dudoso")</f>
        <v>Metacritic PC · dudoso</v>
      </c>
      <c r="K192" s="6" t="s">
        <v>30</v>
      </c>
      <c r="L192" s="1"/>
      <c r="M192" s="1"/>
      <c r="N192" s="1"/>
      <c r="O192" s="1"/>
    </row>
    <row r="193" customFormat="false" ht="15" hidden="false" customHeight="false" outlineLevel="0" collapsed="false">
      <c r="A193" s="8" t="s">
        <v>367</v>
      </c>
      <c r="B193" s="9" t="n">
        <v>84</v>
      </c>
      <c r="C193" s="10" t="str">
        <f aca="false">IF(B193="","Sin puntaje",IF(B193&gt;=90,"Obra maestra (90+)",IF(B193&gt;=80,"Muy bueno (80-89)",IF(B193&gt;=70,"Bueno (70-79)","Regular (&lt;70)"))))</f>
        <v>Muy bueno (80-89)</v>
      </c>
      <c r="D193" s="11" t="s">
        <v>358</v>
      </c>
      <c r="E193" s="11" t="s">
        <v>115</v>
      </c>
      <c r="F193" s="11" t="s">
        <v>116</v>
      </c>
      <c r="G193" s="11" t="s">
        <v>117</v>
      </c>
      <c r="H193" s="11" t="s">
        <v>117</v>
      </c>
      <c r="I193" s="11" t="s">
        <v>363</v>
      </c>
      <c r="J193" s="12" t="str">
        <f aca="false">HYPERLINK("https://gamegeeker.com/games/enter-the-gungeon-311690-steam-pc","Metacritic PC")</f>
        <v>Metacritic PC</v>
      </c>
      <c r="K193" s="11" t="s">
        <v>30</v>
      </c>
      <c r="L193" s="1"/>
      <c r="M193" s="1"/>
      <c r="N193" s="1"/>
      <c r="O193" s="1"/>
    </row>
    <row r="194" customFormat="false" ht="15" hidden="false" customHeight="false" outlineLevel="0" collapsed="false">
      <c r="A194" s="3" t="s">
        <v>368</v>
      </c>
      <c r="B194" s="4" t="n">
        <v>76</v>
      </c>
      <c r="C194" s="5" t="str">
        <f aca="false">IF(B194="","Sin puntaje",IF(B194&gt;=90,"Obra maestra (90+)",IF(B194&gt;=80,"Muy bueno (80-89)",IF(B194&gt;=70,"Bueno (70-79)","Regular (&lt;70)"))))</f>
        <v>Bueno (70-79)</v>
      </c>
      <c r="D194" s="6" t="s">
        <v>358</v>
      </c>
      <c r="E194" s="6" t="s">
        <v>115</v>
      </c>
      <c r="F194" s="6" t="s">
        <v>116</v>
      </c>
      <c r="G194" s="6" t="s">
        <v>117</v>
      </c>
      <c r="H194" s="6" t="s">
        <v>117</v>
      </c>
      <c r="I194" s="6" t="s">
        <v>369</v>
      </c>
      <c r="J194" s="7" t="str">
        <f aca="false">HYPERLINK("https://en.wikipedia.org/wiki/Brotato","Metacritic PC")</f>
        <v>Metacritic PC</v>
      </c>
      <c r="K194" s="6" t="s">
        <v>17</v>
      </c>
      <c r="L194" s="1"/>
      <c r="M194" s="1"/>
      <c r="N194" s="1"/>
      <c r="O194" s="1"/>
    </row>
    <row r="195" customFormat="false" ht="23.85" hidden="false" customHeight="false" outlineLevel="0" collapsed="false">
      <c r="A195" s="8" t="s">
        <v>370</v>
      </c>
      <c r="B195" s="9" t="n">
        <v>66</v>
      </c>
      <c r="C195" s="10" t="str">
        <f aca="false">IF(B195="","Sin puntaje",IF(B195&gt;=90,"Obra maestra (90+)",IF(B195&gt;=80,"Muy bueno (80-89)",IF(B195&gt;=70,"Bueno (70-79)","Regular (&lt;70)"))))</f>
        <v>Regular (&lt;70)</v>
      </c>
      <c r="D195" s="11" t="s">
        <v>358</v>
      </c>
      <c r="E195" s="11" t="s">
        <v>115</v>
      </c>
      <c r="F195" s="11" t="s">
        <v>116</v>
      </c>
      <c r="G195" s="11" t="s">
        <v>117</v>
      </c>
      <c r="H195" s="11" t="s">
        <v>117</v>
      </c>
      <c r="I195" s="11" t="s">
        <v>363</v>
      </c>
      <c r="J195" s="12" t="str">
        <f aca="false">HYPERLINK("https://rawg.io/games/apoc-runner-omnitron-studios/suggestions","Metacritic (plataforma sin especificar) · dudoso")</f>
        <v>Metacritic (plataforma sin especificar) · dudoso</v>
      </c>
      <c r="K195" s="11" t="s">
        <v>30</v>
      </c>
      <c r="L195" s="1"/>
      <c r="M195" s="1"/>
      <c r="N195" s="1"/>
      <c r="O195" s="1"/>
    </row>
    <row r="196" customFormat="false" ht="15" hidden="false" customHeight="false" outlineLevel="0" collapsed="false">
      <c r="A196" s="1"/>
      <c r="B196" s="1"/>
      <c r="C196" s="1"/>
      <c r="D196" s="1"/>
      <c r="E196" s="1"/>
      <c r="F196" s="1"/>
      <c r="G196" s="1"/>
      <c r="H196" s="1"/>
      <c r="I196" s="1"/>
      <c r="J196" s="1"/>
      <c r="K196" s="1"/>
      <c r="L196" s="1"/>
      <c r="M196" s="1"/>
      <c r="N196" s="1"/>
      <c r="O196" s="1"/>
    </row>
    <row r="197" customFormat="false" ht="15" hidden="false" customHeight="false" outlineLevel="0" collapsed="false">
      <c r="A197" s="1"/>
      <c r="B197" s="1"/>
      <c r="C197" s="1"/>
      <c r="D197" s="1"/>
      <c r="E197" s="1"/>
      <c r="F197" s="1"/>
      <c r="G197" s="1"/>
      <c r="H197" s="1"/>
      <c r="I197" s="1"/>
      <c r="J197" s="1"/>
      <c r="K197" s="1"/>
      <c r="L197" s="1"/>
      <c r="M197" s="1"/>
      <c r="N197" s="1"/>
      <c r="O197" s="1"/>
    </row>
    <row r="198" customFormat="false" ht="15" hidden="false" customHeight="false" outlineLevel="0" collapsed="false">
      <c r="A198" s="1"/>
      <c r="B198" s="1"/>
      <c r="C198" s="1"/>
      <c r="D198" s="1"/>
      <c r="E198" s="1"/>
      <c r="F198" s="1"/>
      <c r="G198" s="1"/>
      <c r="H198" s="1"/>
      <c r="I198" s="1"/>
      <c r="J198" s="1"/>
      <c r="K198" s="1"/>
      <c r="L198" s="1"/>
      <c r="M198" s="1"/>
      <c r="N198" s="1"/>
      <c r="O198" s="1"/>
    </row>
    <row r="199" customFormat="false" ht="15" hidden="false" customHeight="false" outlineLevel="0" collapsed="false">
      <c r="A199" s="1"/>
      <c r="B199" s="1"/>
      <c r="C199" s="1"/>
      <c r="D199" s="1"/>
      <c r="E199" s="1"/>
      <c r="F199" s="1"/>
      <c r="G199" s="1"/>
      <c r="H199" s="1"/>
      <c r="I199" s="1"/>
      <c r="J199" s="1"/>
      <c r="K199" s="1"/>
      <c r="L199" s="1"/>
      <c r="M199" s="1"/>
      <c r="N199" s="1"/>
      <c r="O199" s="1"/>
    </row>
    <row r="200" customFormat="false" ht="15" hidden="false" customHeight="false" outlineLevel="0" collapsed="false">
      <c r="A200" s="1"/>
      <c r="B200" s="1"/>
      <c r="C200" s="1"/>
      <c r="D200" s="1"/>
      <c r="E200" s="1"/>
      <c r="F200" s="1"/>
      <c r="G200" s="1"/>
      <c r="H200" s="1"/>
      <c r="I200" s="1"/>
      <c r="J200" s="1"/>
      <c r="K200" s="1"/>
      <c r="L200" s="1"/>
      <c r="M200" s="1"/>
      <c r="N200" s="1"/>
      <c r="O200" s="1"/>
    </row>
    <row r="201" customFormat="false" ht="15" hidden="false" customHeight="false" outlineLevel="0" collapsed="false">
      <c r="A201" s="1"/>
      <c r="B201" s="1"/>
      <c r="C201" s="1"/>
      <c r="D201" s="1"/>
      <c r="E201" s="1"/>
      <c r="F201" s="1"/>
      <c r="G201" s="1"/>
      <c r="H201" s="1"/>
      <c r="I201" s="1"/>
      <c r="J201" s="1"/>
      <c r="K201" s="1"/>
      <c r="L201" s="1"/>
      <c r="M201" s="1"/>
      <c r="N201" s="1"/>
      <c r="O201" s="1"/>
    </row>
    <row r="202" customFormat="false" ht="15" hidden="false" customHeight="false" outlineLevel="0" collapsed="false">
      <c r="A202" s="1"/>
      <c r="B202" s="1"/>
      <c r="C202" s="1"/>
      <c r="D202" s="1"/>
      <c r="E202" s="1"/>
      <c r="F202" s="1"/>
      <c r="G202" s="1"/>
      <c r="H202" s="1"/>
      <c r="I202" s="1"/>
      <c r="J202" s="1"/>
      <c r="K202" s="1"/>
      <c r="L202" s="1"/>
      <c r="M202" s="1"/>
      <c r="N202" s="1"/>
      <c r="O202" s="1"/>
    </row>
    <row r="203" customFormat="false" ht="15" hidden="false" customHeight="false" outlineLevel="0" collapsed="false">
      <c r="A203" s="1"/>
      <c r="B203" s="1"/>
      <c r="C203" s="1"/>
      <c r="D203" s="1"/>
      <c r="E203" s="1"/>
      <c r="F203" s="1"/>
      <c r="G203" s="1"/>
      <c r="H203" s="1"/>
      <c r="I203" s="1"/>
      <c r="J203" s="1"/>
      <c r="K203" s="1"/>
      <c r="L203" s="1"/>
      <c r="M203" s="1"/>
      <c r="N203" s="1"/>
      <c r="O203" s="1"/>
    </row>
    <row r="204" customFormat="false" ht="15" hidden="false" customHeight="false" outlineLevel="0" collapsed="false">
      <c r="A204" s="1"/>
      <c r="B204" s="1"/>
      <c r="C204" s="1"/>
      <c r="D204" s="1"/>
      <c r="E204" s="1"/>
      <c r="F204" s="1"/>
      <c r="G204" s="1"/>
      <c r="H204" s="1"/>
      <c r="I204" s="1"/>
      <c r="J204" s="1"/>
      <c r="K204" s="1"/>
      <c r="L204" s="1"/>
      <c r="M204" s="1"/>
      <c r="N204" s="1"/>
      <c r="O204" s="1"/>
    </row>
    <row r="205" customFormat="false" ht="15" hidden="false" customHeight="false" outlineLevel="0" collapsed="false">
      <c r="A205" s="1"/>
      <c r="B205" s="1"/>
      <c r="C205" s="1"/>
      <c r="D205" s="1"/>
      <c r="E205" s="1"/>
      <c r="F205" s="1"/>
      <c r="G205" s="1"/>
      <c r="H205" s="1"/>
      <c r="I205" s="1"/>
      <c r="J205" s="1"/>
      <c r="K205" s="1"/>
      <c r="L205" s="1"/>
      <c r="M205" s="1"/>
      <c r="N205" s="1"/>
      <c r="O205" s="1"/>
    </row>
    <row r="206" customFormat="false" ht="15" hidden="false" customHeight="false" outlineLevel="0" collapsed="false">
      <c r="A206" s="1"/>
      <c r="B206" s="1"/>
      <c r="C206" s="1"/>
      <c r="D206" s="1"/>
      <c r="E206" s="1"/>
      <c r="F206" s="1"/>
      <c r="G206" s="1"/>
      <c r="H206" s="1"/>
      <c r="I206" s="1"/>
      <c r="J206" s="1"/>
      <c r="K206" s="1"/>
      <c r="L206" s="1"/>
      <c r="M206" s="1"/>
      <c r="N206" s="1"/>
      <c r="O206" s="1"/>
    </row>
    <row r="207" customFormat="false" ht="15" hidden="false" customHeight="false" outlineLevel="0" collapsed="false">
      <c r="A207" s="1"/>
      <c r="B207" s="1"/>
      <c r="C207" s="1"/>
      <c r="D207" s="1"/>
      <c r="E207" s="1"/>
      <c r="F207" s="1"/>
      <c r="G207" s="1"/>
      <c r="H207" s="1"/>
      <c r="I207" s="1"/>
      <c r="J207" s="1"/>
      <c r="K207" s="1"/>
      <c r="L207" s="1"/>
      <c r="M207" s="1"/>
      <c r="N207" s="1"/>
      <c r="O207" s="1"/>
    </row>
    <row r="208" customFormat="false" ht="15" hidden="false" customHeight="false" outlineLevel="0" collapsed="false">
      <c r="A208" s="1"/>
      <c r="B208" s="1"/>
      <c r="C208" s="1"/>
      <c r="D208" s="1"/>
      <c r="E208" s="1"/>
      <c r="F208" s="1"/>
      <c r="G208" s="1"/>
      <c r="H208" s="1"/>
      <c r="I208" s="1"/>
      <c r="J208" s="1"/>
      <c r="K208" s="1"/>
      <c r="L208" s="1"/>
      <c r="M208" s="1"/>
      <c r="N208" s="1"/>
      <c r="O208" s="1"/>
    </row>
    <row r="209" customFormat="false" ht="15" hidden="false" customHeight="false" outlineLevel="0" collapsed="false">
      <c r="A209" s="1"/>
      <c r="B209" s="1"/>
      <c r="C209" s="1"/>
      <c r="D209" s="1"/>
      <c r="E209" s="1"/>
      <c r="F209" s="1"/>
      <c r="G209" s="1"/>
      <c r="H209" s="1"/>
      <c r="I209" s="1"/>
      <c r="J209" s="1"/>
      <c r="K209" s="1"/>
      <c r="L209" s="1"/>
      <c r="M209" s="1"/>
      <c r="N209" s="1"/>
      <c r="O209" s="1"/>
    </row>
    <row r="210" customFormat="false" ht="15" hidden="false" customHeight="false" outlineLevel="0" collapsed="false">
      <c r="A210" s="1"/>
      <c r="B210" s="1"/>
      <c r="C210" s="1"/>
      <c r="D210" s="1"/>
      <c r="E210" s="1"/>
      <c r="F210" s="1"/>
      <c r="G210" s="1"/>
      <c r="H210" s="1"/>
      <c r="I210" s="1"/>
      <c r="J210" s="1"/>
      <c r="K210" s="1"/>
      <c r="L210" s="1"/>
      <c r="M210" s="1"/>
      <c r="N210" s="1"/>
      <c r="O210" s="1"/>
    </row>
    <row r="211" customFormat="false" ht="15" hidden="false" customHeight="false" outlineLevel="0" collapsed="false">
      <c r="A211" s="1"/>
      <c r="B211" s="1"/>
      <c r="C211" s="1"/>
      <c r="D211" s="1"/>
      <c r="E211" s="1"/>
      <c r="F211" s="1"/>
      <c r="G211" s="1"/>
      <c r="H211" s="1"/>
      <c r="I211" s="1"/>
      <c r="J211" s="1"/>
      <c r="K211" s="1"/>
      <c r="L211" s="1"/>
      <c r="M211" s="1"/>
      <c r="N211" s="1"/>
      <c r="O211" s="1"/>
    </row>
    <row r="212" customFormat="false" ht="15" hidden="false" customHeight="false" outlineLevel="0" collapsed="false">
      <c r="A212" s="1"/>
      <c r="B212" s="1"/>
      <c r="C212" s="1"/>
      <c r="D212" s="1"/>
      <c r="E212" s="1"/>
      <c r="F212" s="1"/>
      <c r="G212" s="1"/>
      <c r="H212" s="1"/>
      <c r="I212" s="1"/>
      <c r="J212" s="1"/>
      <c r="K212" s="1"/>
      <c r="L212" s="1"/>
      <c r="M212" s="1"/>
      <c r="N212" s="1"/>
      <c r="O212" s="1"/>
    </row>
    <row r="213" customFormat="false" ht="15" hidden="false" customHeight="false" outlineLevel="0" collapsed="false">
      <c r="A213" s="1"/>
      <c r="B213" s="1"/>
      <c r="C213" s="1"/>
      <c r="D213" s="1"/>
      <c r="E213" s="1"/>
      <c r="F213" s="1"/>
      <c r="G213" s="1"/>
      <c r="H213" s="1"/>
      <c r="I213" s="1"/>
      <c r="J213" s="1"/>
      <c r="K213" s="1"/>
      <c r="L213" s="1"/>
      <c r="M213" s="1"/>
      <c r="N213" s="1"/>
      <c r="O213" s="1"/>
    </row>
    <row r="214" customFormat="false" ht="15" hidden="false" customHeight="false" outlineLevel="0" collapsed="false">
      <c r="A214" s="1"/>
      <c r="B214" s="1"/>
      <c r="C214" s="1"/>
      <c r="D214" s="1"/>
      <c r="E214" s="1"/>
      <c r="F214" s="1"/>
      <c r="G214" s="1"/>
      <c r="H214" s="1"/>
      <c r="I214" s="1"/>
      <c r="J214" s="1"/>
      <c r="K214" s="1"/>
      <c r="L214" s="1"/>
      <c r="M214" s="1"/>
      <c r="N214" s="1"/>
      <c r="O214" s="1"/>
    </row>
    <row r="215" customFormat="false" ht="15" hidden="false" customHeight="false" outlineLevel="0" collapsed="false">
      <c r="A215" s="1"/>
      <c r="B215" s="1"/>
      <c r="C215" s="1"/>
      <c r="D215" s="1"/>
      <c r="E215" s="1"/>
      <c r="F215" s="1"/>
      <c r="G215" s="1"/>
      <c r="H215" s="1"/>
      <c r="I215" s="1"/>
      <c r="J215" s="1"/>
      <c r="K215" s="1"/>
      <c r="L215" s="1"/>
      <c r="M215" s="1"/>
      <c r="N215" s="1"/>
      <c r="O215" s="1"/>
    </row>
    <row r="216" customFormat="false" ht="15" hidden="false" customHeight="false" outlineLevel="0" collapsed="false">
      <c r="A216" s="1"/>
      <c r="B216" s="1"/>
      <c r="C216" s="1"/>
      <c r="D216" s="1"/>
      <c r="E216" s="1"/>
      <c r="F216" s="1"/>
      <c r="G216" s="1"/>
      <c r="H216" s="1"/>
      <c r="I216" s="1"/>
      <c r="J216" s="1"/>
      <c r="K216" s="1"/>
      <c r="L216" s="1"/>
      <c r="M216" s="1"/>
      <c r="N216" s="1"/>
      <c r="O216" s="1"/>
    </row>
    <row r="217" customFormat="false" ht="15" hidden="false" customHeight="false" outlineLevel="0" collapsed="false">
      <c r="A217" s="1"/>
      <c r="B217" s="1"/>
      <c r="C217" s="1"/>
      <c r="D217" s="1"/>
      <c r="E217" s="1"/>
      <c r="F217" s="1"/>
      <c r="G217" s="1"/>
      <c r="H217" s="1"/>
      <c r="I217" s="1"/>
      <c r="J217" s="1"/>
      <c r="K217" s="1"/>
      <c r="L217" s="1"/>
      <c r="M217" s="1"/>
      <c r="N217" s="1"/>
      <c r="O217" s="1"/>
    </row>
    <row r="218" customFormat="false" ht="15" hidden="false" customHeight="false" outlineLevel="0" collapsed="false">
      <c r="A218" s="1"/>
      <c r="B218" s="1"/>
      <c r="C218" s="1"/>
      <c r="D218" s="1"/>
      <c r="E218" s="1"/>
      <c r="F218" s="1"/>
      <c r="G218" s="1"/>
      <c r="H218" s="1"/>
      <c r="I218" s="1"/>
      <c r="J218" s="1"/>
      <c r="K218" s="1"/>
      <c r="L218" s="1"/>
      <c r="M218" s="1"/>
      <c r="N218" s="1"/>
      <c r="O218" s="1"/>
    </row>
    <row r="219" customFormat="false" ht="15" hidden="false" customHeight="false" outlineLevel="0" collapsed="false">
      <c r="A219" s="1"/>
      <c r="B219" s="1"/>
      <c r="C219" s="1"/>
      <c r="D219" s="1"/>
      <c r="E219" s="1"/>
      <c r="F219" s="1"/>
      <c r="G219" s="1"/>
      <c r="H219" s="1"/>
      <c r="I219" s="1"/>
      <c r="J219" s="1"/>
      <c r="K219" s="1"/>
      <c r="L219" s="1"/>
      <c r="M219" s="1"/>
      <c r="N219" s="1"/>
      <c r="O219" s="1"/>
    </row>
    <row r="220" customFormat="false" ht="15" hidden="false" customHeight="false" outlineLevel="0" collapsed="false">
      <c r="A220" s="1"/>
      <c r="B220" s="1"/>
      <c r="C220" s="1"/>
      <c r="D220" s="1"/>
      <c r="E220" s="1"/>
      <c r="F220" s="1"/>
      <c r="G220" s="1"/>
      <c r="H220" s="1"/>
      <c r="I220" s="1"/>
      <c r="J220" s="1"/>
      <c r="K220" s="1"/>
      <c r="L220" s="1"/>
      <c r="M220" s="1"/>
      <c r="N220" s="1"/>
      <c r="O220" s="1"/>
    </row>
  </sheetData>
  <autoFilter ref="A3:K195"/>
  <conditionalFormatting sqref="B4:B195">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195">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E4:E195">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CDC"/>
    <pageSetUpPr fitToPage="true"/>
  </sheetPr>
  <dimension ref="A1:M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9" min="2" style="0" width="15"/>
  </cols>
  <sheetData>
    <row r="1" customFormat="false" ht="75.75" hidden="false" customHeight="true" outlineLevel="0" collapsed="false">
      <c r="A1" s="1"/>
      <c r="B1" s="1"/>
      <c r="C1" s="1"/>
      <c r="D1" s="1"/>
      <c r="E1" s="1"/>
      <c r="F1" s="1"/>
      <c r="G1" s="1"/>
      <c r="H1" s="1"/>
      <c r="I1" s="1"/>
      <c r="J1" s="1"/>
      <c r="K1" s="1"/>
      <c r="L1" s="1"/>
      <c r="M1" s="1"/>
    </row>
    <row r="2" customFormat="false" ht="6" hidden="false" customHeight="true" outlineLevel="0" collapsed="false">
      <c r="A2" s="1"/>
      <c r="B2" s="1"/>
      <c r="C2" s="1"/>
      <c r="D2" s="1"/>
      <c r="E2" s="1"/>
      <c r="F2" s="1"/>
      <c r="G2" s="1"/>
      <c r="H2" s="1"/>
      <c r="I2" s="1"/>
      <c r="J2" s="1"/>
      <c r="K2" s="1"/>
      <c r="L2" s="1"/>
      <c r="M2" s="1"/>
    </row>
    <row r="3" customFormat="false" ht="16.15" hidden="false" customHeight="false" outlineLevel="0" collapsed="false">
      <c r="A3" s="15" t="s">
        <v>371</v>
      </c>
      <c r="B3" s="1"/>
      <c r="C3" s="1"/>
      <c r="D3" s="1"/>
      <c r="E3" s="1"/>
      <c r="F3" s="1"/>
      <c r="G3" s="1"/>
      <c r="H3" s="1"/>
      <c r="I3" s="1"/>
      <c r="J3" s="1"/>
      <c r="K3" s="1"/>
      <c r="L3" s="1"/>
      <c r="M3" s="1"/>
    </row>
    <row r="4" customFormat="false" ht="15" hidden="false" customHeight="false" outlineLevel="0" collapsed="false">
      <c r="A4" s="16" t="s">
        <v>372</v>
      </c>
      <c r="B4" s="1"/>
      <c r="C4" s="1"/>
      <c r="D4" s="1"/>
      <c r="E4" s="1"/>
      <c r="F4" s="1"/>
      <c r="G4" s="1"/>
      <c r="H4" s="1"/>
      <c r="I4" s="1"/>
      <c r="J4" s="1"/>
      <c r="K4" s="1"/>
      <c r="L4" s="1"/>
      <c r="M4" s="1"/>
    </row>
    <row r="5" customFormat="false" ht="15" hidden="false" customHeight="false" outlineLevel="0" collapsed="false">
      <c r="A5" s="1"/>
      <c r="B5" s="1"/>
      <c r="C5" s="1"/>
      <c r="D5" s="1"/>
      <c r="E5" s="1"/>
      <c r="F5" s="1"/>
      <c r="G5" s="1"/>
      <c r="H5" s="1"/>
      <c r="I5" s="1"/>
      <c r="J5" s="1"/>
      <c r="K5" s="1"/>
      <c r="L5" s="1"/>
      <c r="M5" s="1"/>
    </row>
    <row r="6" customFormat="false" ht="31.5" hidden="false" customHeight="true" outlineLevel="0" collapsed="false">
      <c r="A6" s="17" t="s">
        <v>373</v>
      </c>
      <c r="B6" s="17" t="s">
        <v>12</v>
      </c>
      <c r="C6" s="17" t="s">
        <v>149</v>
      </c>
      <c r="D6" s="17" t="s">
        <v>239</v>
      </c>
      <c r="E6" s="17" t="s">
        <v>277</v>
      </c>
      <c r="F6" s="17" t="s">
        <v>298</v>
      </c>
      <c r="G6" s="17" t="s">
        <v>341</v>
      </c>
      <c r="H6" s="17" t="s">
        <v>358</v>
      </c>
      <c r="I6" s="17" t="s">
        <v>374</v>
      </c>
      <c r="J6" s="1"/>
      <c r="K6" s="1"/>
      <c r="L6" s="1"/>
      <c r="M6" s="1"/>
    </row>
    <row r="7" customFormat="false" ht="15" hidden="false" customHeight="false" outlineLevel="0" collapsed="false">
      <c r="A7" s="18" t="s">
        <v>13</v>
      </c>
      <c r="B7" s="19" t="n">
        <f aca="false">COUNTIFS('Lista completa'!$D$4:$D$195,B$6,'Lista completa'!$E$4:$E$195,$A7)</f>
        <v>25</v>
      </c>
      <c r="C7" s="19" t="n">
        <f aca="false">COUNTIFS('Lista completa'!$D$4:$D$195,C$6,'Lista completa'!$E$4:$E$195,$A7)</f>
        <v>70</v>
      </c>
      <c r="D7" s="19" t="n">
        <f aca="false">COUNTIFS('Lista completa'!$D$4:$D$195,D$6,'Lista completa'!$E$4:$E$195,$A7)</f>
        <v>21</v>
      </c>
      <c r="E7" s="19" t="n">
        <f aca="false">COUNTIFS('Lista completa'!$D$4:$D$195,E$6,'Lista completa'!$E$4:$E$195,$A7)</f>
        <v>0</v>
      </c>
      <c r="F7" s="19" t="n">
        <f aca="false">COUNTIFS('Lista completa'!$D$4:$D$195,F$6,'Lista completa'!$E$4:$E$195,$A7)</f>
        <v>7</v>
      </c>
      <c r="G7" s="19" t="n">
        <f aca="false">COUNTIFS('Lista completa'!$D$4:$D$195,G$6,'Lista completa'!$E$4:$E$195,$A7)</f>
        <v>0</v>
      </c>
      <c r="H7" s="19" t="n">
        <f aca="false">COUNTIFS('Lista completa'!$D$4:$D$195,H$6,'Lista completa'!$E$4:$E$195,$A7)</f>
        <v>0</v>
      </c>
      <c r="I7" s="19" t="n">
        <f aca="false">SUM(B7:H7)</f>
        <v>123</v>
      </c>
      <c r="J7" s="1"/>
      <c r="K7" s="1"/>
      <c r="L7" s="1"/>
      <c r="M7" s="1"/>
    </row>
    <row r="8" customFormat="false" ht="15" hidden="false" customHeight="false" outlineLevel="0" collapsed="false">
      <c r="A8" s="20" t="s">
        <v>81</v>
      </c>
      <c r="B8" s="21" t="n">
        <f aca="false">COUNTIFS('Lista completa'!$D$4:$D$195,B$6,'Lista completa'!$E$4:$E$195,$A8)</f>
        <v>8</v>
      </c>
      <c r="C8" s="21" t="n">
        <f aca="false">COUNTIFS('Lista completa'!$D$4:$D$195,C$6,'Lista completa'!$E$4:$E$195,$A8)</f>
        <v>1</v>
      </c>
      <c r="D8" s="21" t="n">
        <f aca="false">COUNTIFS('Lista completa'!$D$4:$D$195,D$6,'Lista completa'!$E$4:$E$195,$A8)</f>
        <v>1</v>
      </c>
      <c r="E8" s="21" t="n">
        <f aca="false">COUNTIFS('Lista completa'!$D$4:$D$195,E$6,'Lista completa'!$E$4:$E$195,$A8)</f>
        <v>0</v>
      </c>
      <c r="F8" s="21" t="n">
        <f aca="false">COUNTIFS('Lista completa'!$D$4:$D$195,F$6,'Lista completa'!$E$4:$E$195,$A8)</f>
        <v>0</v>
      </c>
      <c r="G8" s="21" t="n">
        <f aca="false">COUNTIFS('Lista completa'!$D$4:$D$195,G$6,'Lista completa'!$E$4:$E$195,$A8)</f>
        <v>0</v>
      </c>
      <c r="H8" s="21" t="n">
        <f aca="false">COUNTIFS('Lista completa'!$D$4:$D$195,H$6,'Lista completa'!$E$4:$E$195,$A8)</f>
        <v>0</v>
      </c>
      <c r="I8" s="21" t="n">
        <f aca="false">SUM(B8:H8)</f>
        <v>10</v>
      </c>
      <c r="J8" s="1"/>
      <c r="K8" s="1"/>
      <c r="L8" s="1"/>
      <c r="M8" s="1"/>
    </row>
    <row r="9" customFormat="false" ht="15" hidden="false" customHeight="false" outlineLevel="0" collapsed="false">
      <c r="A9" s="18" t="s">
        <v>103</v>
      </c>
      <c r="B9" s="19" t="n">
        <f aca="false">COUNTIFS('Lista completa'!$D$4:$D$195,B$6,'Lista completa'!$E$4:$E$195,$A9)</f>
        <v>3</v>
      </c>
      <c r="C9" s="19" t="n">
        <f aca="false">COUNTIFS('Lista completa'!$D$4:$D$195,C$6,'Lista completa'!$E$4:$E$195,$A9)</f>
        <v>0</v>
      </c>
      <c r="D9" s="19" t="n">
        <f aca="false">COUNTIFS('Lista completa'!$D$4:$D$195,D$6,'Lista completa'!$E$4:$E$195,$A9)</f>
        <v>0</v>
      </c>
      <c r="E9" s="19" t="n">
        <f aca="false">COUNTIFS('Lista completa'!$D$4:$D$195,E$6,'Lista completa'!$E$4:$E$195,$A9)</f>
        <v>7</v>
      </c>
      <c r="F9" s="19" t="n">
        <f aca="false">COUNTIFS('Lista completa'!$D$4:$D$195,F$6,'Lista completa'!$E$4:$E$195,$A9)</f>
        <v>14</v>
      </c>
      <c r="G9" s="19" t="n">
        <f aca="false">COUNTIFS('Lista completa'!$D$4:$D$195,G$6,'Lista completa'!$E$4:$E$195,$A9)</f>
        <v>8</v>
      </c>
      <c r="H9" s="19" t="n">
        <f aca="false">COUNTIFS('Lista completa'!$D$4:$D$195,H$6,'Lista completa'!$E$4:$E$195,$A9)</f>
        <v>0</v>
      </c>
      <c r="I9" s="19" t="n">
        <f aca="false">SUM(B9:H9)</f>
        <v>32</v>
      </c>
      <c r="J9" s="1"/>
      <c r="K9" s="1"/>
      <c r="L9" s="1"/>
      <c r="M9" s="1"/>
    </row>
    <row r="10" customFormat="false" ht="15" hidden="false" customHeight="false" outlineLevel="0" collapsed="false">
      <c r="A10" s="20" t="s">
        <v>115</v>
      </c>
      <c r="B10" s="21" t="n">
        <f aca="false">COUNTIFS('Lista completa'!$D$4:$D$195,B$6,'Lista completa'!$E$4:$E$195,$A10)</f>
        <v>18</v>
      </c>
      <c r="C10" s="21" t="n">
        <f aca="false">COUNTIFS('Lista completa'!$D$4:$D$195,C$6,'Lista completa'!$E$4:$E$195,$A10)</f>
        <v>0</v>
      </c>
      <c r="D10" s="21" t="n">
        <f aca="false">COUNTIFS('Lista completa'!$D$4:$D$195,D$6,'Lista completa'!$E$4:$E$195,$A10)</f>
        <v>0</v>
      </c>
      <c r="E10" s="21" t="n">
        <f aca="false">COUNTIFS('Lista completa'!$D$4:$D$195,E$6,'Lista completa'!$E$4:$E$195,$A10)</f>
        <v>0</v>
      </c>
      <c r="F10" s="21" t="n">
        <f aca="false">COUNTIFS('Lista completa'!$D$4:$D$195,F$6,'Lista completa'!$E$4:$E$195,$A10)</f>
        <v>0</v>
      </c>
      <c r="G10" s="21" t="n">
        <f aca="false">COUNTIFS('Lista completa'!$D$4:$D$195,G$6,'Lista completa'!$E$4:$E$195,$A10)</f>
        <v>0</v>
      </c>
      <c r="H10" s="21" t="n">
        <f aca="false">COUNTIFS('Lista completa'!$D$4:$D$195,H$6,'Lista completa'!$E$4:$E$195,$A10)</f>
        <v>9</v>
      </c>
      <c r="I10" s="21" t="n">
        <f aca="false">SUM(B10:H10)</f>
        <v>27</v>
      </c>
      <c r="J10" s="1"/>
      <c r="K10" s="1"/>
      <c r="L10" s="1"/>
      <c r="M10" s="1"/>
    </row>
    <row r="11" customFormat="false" ht="15" hidden="false" customHeight="false" outlineLevel="0" collapsed="false">
      <c r="A11" s="22" t="s">
        <v>374</v>
      </c>
      <c r="B11" s="23" t="n">
        <f aca="false">SUM(B7:B10)</f>
        <v>54</v>
      </c>
      <c r="C11" s="23" t="n">
        <f aca="false">SUM(C7:C10)</f>
        <v>71</v>
      </c>
      <c r="D11" s="23" t="n">
        <f aca="false">SUM(D7:D10)</f>
        <v>22</v>
      </c>
      <c r="E11" s="23" t="n">
        <f aca="false">SUM(E7:E10)</f>
        <v>7</v>
      </c>
      <c r="F11" s="23" t="n">
        <f aca="false">SUM(F7:F10)</f>
        <v>21</v>
      </c>
      <c r="G11" s="23" t="n">
        <f aca="false">SUM(G7:G10)</f>
        <v>8</v>
      </c>
      <c r="H11" s="23" t="n">
        <f aca="false">SUM(H7:H10)</f>
        <v>9</v>
      </c>
      <c r="I11" s="23" t="n">
        <f aca="false">SUM(I7:I10)</f>
        <v>192</v>
      </c>
      <c r="J11" s="1"/>
      <c r="K11" s="1"/>
      <c r="L11" s="1"/>
      <c r="M11" s="1"/>
    </row>
    <row r="12" customFormat="false" ht="15" hidden="false" customHeight="false" outlineLevel="0" collapsed="false">
      <c r="A12" s="24" t="s">
        <v>375</v>
      </c>
      <c r="B12" s="25" t="n">
        <f aca="false">IFERROR(AVERAGEIFS('Lista completa'!$B$4:$B$195,'Lista completa'!$D$4:$D$195,B$6),"—")</f>
        <v>86.925</v>
      </c>
      <c r="C12" s="25" t="n">
        <f aca="false">IFERROR(AVERAGEIFS('Lista completa'!$B$4:$B$195,'Lista completa'!$D$4:$D$195,C$6),"—")</f>
        <v>85.1967213114754</v>
      </c>
      <c r="D12" s="25" t="n">
        <f aca="false">IFERROR(AVERAGEIFS('Lista completa'!$B$4:$B$195,'Lista completa'!$D$4:$D$195,D$6),"—")</f>
        <v>89.2</v>
      </c>
      <c r="E12" s="25" t="n">
        <f aca="false">IFERROR(AVERAGEIFS('Lista completa'!$B$4:$B$195,'Lista completa'!$D$4:$D$195,E$6),"—")</f>
        <v>89.8</v>
      </c>
      <c r="F12" s="25" t="n">
        <f aca="false">IFERROR(AVERAGEIFS('Lista completa'!$B$4:$B$195,'Lista completa'!$D$4:$D$195,F$6),"—")</f>
        <v>86.2222222222222</v>
      </c>
      <c r="G12" s="25" t="n">
        <f aca="false">IFERROR(AVERAGEIFS('Lista completa'!$B$4:$B$195,'Lista completa'!$D$4:$D$195,G$6),"—")</f>
        <v>83.875</v>
      </c>
      <c r="H12" s="25" t="n">
        <f aca="false">IFERROR(AVERAGEIFS('Lista completa'!$B$4:$B$195,'Lista completa'!$D$4:$D$195,H$6),"—")</f>
        <v>83.8888888888889</v>
      </c>
      <c r="I12" s="25" t="n">
        <f aca="false">IFERROR(AVERAGE('Lista completa'!$B$4:$B$195),"—")</f>
        <v>86.1474358974359</v>
      </c>
      <c r="J12" s="1"/>
      <c r="K12" s="1"/>
      <c r="L12" s="1"/>
      <c r="M12" s="1"/>
    </row>
    <row r="13" customFormat="false" ht="15" hidden="false" customHeight="false" outlineLevel="0" collapsed="false">
      <c r="A13" s="1"/>
      <c r="B13" s="1"/>
      <c r="C13" s="1"/>
      <c r="D13" s="1"/>
      <c r="E13" s="1"/>
      <c r="F13" s="1"/>
      <c r="G13" s="1"/>
      <c r="H13" s="1"/>
      <c r="I13" s="1"/>
      <c r="J13" s="1"/>
      <c r="K13" s="1"/>
      <c r="L13" s="1"/>
      <c r="M13" s="1"/>
    </row>
    <row r="14" customFormat="false" ht="15" hidden="false" customHeight="false" outlineLevel="0" collapsed="false">
      <c r="A14" s="16" t="s">
        <v>376</v>
      </c>
      <c r="B14" s="16" t="n">
        <f aca="false">COUNTA('Lista completa'!$A$4:$A$195)</f>
        <v>192</v>
      </c>
      <c r="C14" s="1"/>
      <c r="D14" s="1"/>
      <c r="E14" s="1"/>
      <c r="F14" s="1"/>
      <c r="G14" s="1"/>
      <c r="H14" s="1"/>
      <c r="I14" s="1"/>
      <c r="J14" s="1"/>
      <c r="K14" s="1"/>
      <c r="L14" s="1"/>
      <c r="M14" s="1"/>
    </row>
    <row r="15" customFormat="false" ht="15" hidden="false" customHeight="false" outlineLevel="0" collapsed="false">
      <c r="A15" s="1"/>
      <c r="B15" s="1"/>
      <c r="C15" s="1"/>
      <c r="D15" s="1"/>
      <c r="E15" s="1"/>
      <c r="F15" s="1"/>
      <c r="G15" s="1"/>
      <c r="H15" s="1"/>
      <c r="I15" s="1"/>
      <c r="J15" s="1"/>
      <c r="K15" s="1"/>
      <c r="L15" s="1"/>
      <c r="M15" s="1"/>
    </row>
    <row r="16" customFormat="false" ht="16.15" hidden="false" customHeight="false" outlineLevel="0" collapsed="false">
      <c r="A16" s="15" t="s">
        <v>377</v>
      </c>
      <c r="B16" s="1"/>
      <c r="C16" s="1"/>
      <c r="D16" s="1"/>
      <c r="E16" s="1"/>
      <c r="F16" s="1"/>
      <c r="G16" s="1"/>
      <c r="H16" s="1"/>
      <c r="I16" s="1"/>
      <c r="J16" s="1"/>
      <c r="K16" s="1"/>
      <c r="L16" s="1"/>
      <c r="M16" s="1"/>
    </row>
    <row r="17" customFormat="false" ht="31.5" hidden="false" customHeight="true" outlineLevel="0" collapsed="false">
      <c r="A17" s="17" t="s">
        <v>378</v>
      </c>
      <c r="B17" s="17" t="s">
        <v>379</v>
      </c>
      <c r="C17" s="17" t="s">
        <v>13</v>
      </c>
      <c r="D17" s="17" t="s">
        <v>81</v>
      </c>
      <c r="E17" s="17" t="s">
        <v>375</v>
      </c>
      <c r="F17" s="17" t="s">
        <v>380</v>
      </c>
      <c r="G17" s="26" t="s">
        <v>381</v>
      </c>
      <c r="H17" s="26"/>
      <c r="I17" s="26"/>
      <c r="J17" s="1"/>
      <c r="K17" s="1"/>
      <c r="L17" s="1"/>
      <c r="M17" s="1"/>
    </row>
    <row r="18" customFormat="false" ht="15" hidden="false" customHeight="false" outlineLevel="0" collapsed="false">
      <c r="A18" s="27" t="str">
        <f aca="false">HYPERLINK("#'NES'!A1","NES")</f>
        <v>NES</v>
      </c>
      <c r="B18" s="28" t="n">
        <f aca="false">COUNTA(NES!$A$4:$A$20)</f>
        <v>17</v>
      </c>
      <c r="C18" s="28" t="n">
        <f aca="false">COUNTIF(NES!$F$4:$F$20,"Funciona")</f>
        <v>17</v>
      </c>
      <c r="D18" s="28" t="n">
        <f aca="false">COUNTIF(NES!$F$4:$F$20,"Con reservas")</f>
        <v>0</v>
      </c>
      <c r="E18" s="28" t="n">
        <f aca="false">IFERROR(AVERAGE(NES!$B$4:$B$20),"—")</f>
        <v>84.0769230769231</v>
      </c>
      <c r="F18" s="28" t="n">
        <f aca="false">IF(COUNT(NES!$B$4:$B$20)=0,"—",MAX(NES!$B$4:$B$20))</f>
        <v>97</v>
      </c>
      <c r="G18" s="29" t="s">
        <v>382</v>
      </c>
      <c r="H18" s="29"/>
      <c r="I18" s="29"/>
      <c r="J18" s="1"/>
      <c r="K18" s="1"/>
      <c r="L18" s="1"/>
      <c r="M18" s="1"/>
    </row>
    <row r="19" customFormat="false" ht="15" hidden="false" customHeight="false" outlineLevel="0" collapsed="false">
      <c r="A19" s="30" t="str">
        <f aca="false">HYPERLINK("#'SNES'!A1","SNES")</f>
        <v>SNES</v>
      </c>
      <c r="B19" s="31" t="n">
        <f aca="false">COUNTA(SNES!$A$4:$A$23)</f>
        <v>20</v>
      </c>
      <c r="C19" s="31" t="n">
        <f aca="false">COUNTIF(SNES!$F$4:$F$23,"Funciona")</f>
        <v>20</v>
      </c>
      <c r="D19" s="31" t="n">
        <f aca="false">COUNTIF(SNES!$F$4:$F$23,"Con reservas")</f>
        <v>0</v>
      </c>
      <c r="E19" s="31" t="n">
        <f aca="false">IFERROR(AVERAGE(SNES!$B$4:$B$23),"—")</f>
        <v>89.1</v>
      </c>
      <c r="F19" s="31" t="n">
        <f aca="false">IF(COUNT(SNES!$B$4:$B$23)=0,"—",MAX(SNES!$B$4:$B$23))</f>
        <v>97</v>
      </c>
      <c r="G19" s="32" t="s">
        <v>383</v>
      </c>
      <c r="H19" s="32"/>
      <c r="I19" s="32"/>
      <c r="J19" s="1"/>
      <c r="K19" s="1"/>
      <c r="L19" s="1"/>
      <c r="M19" s="1"/>
    </row>
    <row r="20" customFormat="false" ht="15" hidden="false" customHeight="false" outlineLevel="0" collapsed="false">
      <c r="A20" s="27" t="str">
        <f aca="false">HYPERLINK("#'Game Boy y GBC'!A1","Game Boy y GBC")</f>
        <v>Game Boy y GBC</v>
      </c>
      <c r="B20" s="28" t="n">
        <f aca="false">COUNTA('Game Boy y GBC'!$A$4:$A$20)</f>
        <v>17</v>
      </c>
      <c r="C20" s="28" t="n">
        <f aca="false">COUNTIF('Game Boy y GBC'!$F$4:$F$20,"Funciona")</f>
        <v>17</v>
      </c>
      <c r="D20" s="28" t="n">
        <f aca="false">COUNTIF('Game Boy y GBC'!$F$4:$F$20,"Con reservas")</f>
        <v>0</v>
      </c>
      <c r="E20" s="28" t="n">
        <f aca="false">IFERROR(AVERAGE('Game Boy y GBC'!$B$4:$B$20),"—")</f>
        <v>84.7857142857143</v>
      </c>
      <c r="F20" s="28" t="n">
        <f aca="false">IF(COUNT('Game Boy y GBC'!$B$4:$B$20)=0,"—",MAX('Game Boy y GBC'!$B$4:$B$20))</f>
        <v>93</v>
      </c>
      <c r="G20" s="29" t="s">
        <v>384</v>
      </c>
      <c r="H20" s="29"/>
      <c r="I20" s="29"/>
      <c r="J20" s="1"/>
      <c r="K20" s="1"/>
      <c r="L20" s="1"/>
      <c r="M20" s="1"/>
    </row>
    <row r="21" customFormat="false" ht="15" hidden="false" customHeight="false" outlineLevel="0" collapsed="false">
      <c r="A21" s="30" t="str">
        <f aca="false">HYPERLINK("#'GBA'!A1","GBA")</f>
        <v>GBA</v>
      </c>
      <c r="B21" s="31" t="n">
        <f aca="false">COUNTA(GBA!$A$4:$A$23)</f>
        <v>20</v>
      </c>
      <c r="C21" s="31" t="n">
        <f aca="false">COUNTIF(GBA!$F$4:$F$23,"Funciona")</f>
        <v>20</v>
      </c>
      <c r="D21" s="31" t="n">
        <f aca="false">COUNTIF(GBA!$F$4:$F$23,"Con reservas")</f>
        <v>0</v>
      </c>
      <c r="E21" s="31" t="n">
        <f aca="false">IFERROR(AVERAGE(GBA!$B$4:$B$23),"—")</f>
        <v>90</v>
      </c>
      <c r="F21" s="31" t="n">
        <f aca="false">IF(COUNT(GBA!$B$4:$B$23)=0,"—",MAX(GBA!$B$4:$B$23))</f>
        <v>95</v>
      </c>
      <c r="G21" s="32" t="s">
        <v>385</v>
      </c>
      <c r="H21" s="32"/>
      <c r="I21" s="32"/>
      <c r="J21" s="1"/>
      <c r="K21" s="1"/>
      <c r="L21" s="1"/>
      <c r="M21" s="1"/>
    </row>
    <row r="22" customFormat="false" ht="15" hidden="false" customHeight="false" outlineLevel="0" collapsed="false">
      <c r="A22" s="27" t="str">
        <f aca="false">HYPERLINK("#'Mega Drive'!A1","Mega Drive")</f>
        <v>Mega Drive</v>
      </c>
      <c r="B22" s="28" t="n">
        <f aca="false">COUNTA('Mega Drive'!$A$4:$A$22)</f>
        <v>19</v>
      </c>
      <c r="C22" s="28" t="n">
        <f aca="false">COUNTIF('Mega Drive'!$F$4:$F$22,"Funciona")</f>
        <v>19</v>
      </c>
      <c r="D22" s="28" t="n">
        <f aca="false">COUNTIF('Mega Drive'!$F$4:$F$22,"Con reservas")</f>
        <v>0</v>
      </c>
      <c r="E22" s="28" t="n">
        <f aca="false">IFERROR(AVERAGE('Mega Drive'!$B$4:$B$22),"—")</f>
        <v>85</v>
      </c>
      <c r="F22" s="28" t="n">
        <f aca="false">IF(COUNT('Mega Drive'!$B$4:$B$22)=0,"—",MAX('Mega Drive'!$B$4:$B$22))</f>
        <v>91</v>
      </c>
      <c r="G22" s="29" t="s">
        <v>386</v>
      </c>
      <c r="H22" s="29"/>
      <c r="I22" s="29"/>
      <c r="J22" s="1"/>
      <c r="K22" s="1"/>
      <c r="L22" s="1"/>
      <c r="M22" s="1"/>
    </row>
    <row r="23" customFormat="false" ht="15" hidden="false" customHeight="false" outlineLevel="0" collapsed="false">
      <c r="A23" s="30" t="str">
        <f aca="false">HYPERLINK("#'PC Engine'!A1","PC Engine")</f>
        <v>PC Engine</v>
      </c>
      <c r="B23" s="31" t="n">
        <f aca="false">COUNTA('PC Engine'!$A$4:$A$19)</f>
        <v>16</v>
      </c>
      <c r="C23" s="31" t="n">
        <f aca="false">COUNTIF('PC Engine'!$F$4:$F$19,"Funciona")</f>
        <v>16</v>
      </c>
      <c r="D23" s="31" t="n">
        <f aca="false">COUNTIF('PC Engine'!$F$4:$F$19,"Con reservas")</f>
        <v>0</v>
      </c>
      <c r="E23" s="31" t="n">
        <f aca="false">IFERROR(AVERAGE('PC Engine'!$B$4:$B$19),"—")</f>
        <v>82.3571428571429</v>
      </c>
      <c r="F23" s="31" t="n">
        <f aca="false">IF(COUNT('PC Engine'!$B$4:$B$19)=0,"—",MAX('PC Engine'!$B$4:$B$19))</f>
        <v>90</v>
      </c>
      <c r="G23" s="32" t="s">
        <v>387</v>
      </c>
      <c r="H23" s="32"/>
      <c r="I23" s="32"/>
      <c r="J23" s="1"/>
      <c r="K23" s="1"/>
      <c r="L23" s="1"/>
      <c r="M23" s="1"/>
    </row>
    <row r="24" customFormat="false" ht="15" hidden="false" customHeight="false" outlineLevel="0" collapsed="false">
      <c r="A24" s="27" t="str">
        <f aca="false">HYPERLINK("#'Neo Geo y Arcade'!A1","Neo Geo y Arcade")</f>
        <v>Neo Geo y Arcade</v>
      </c>
      <c r="B24" s="28" t="n">
        <f aca="false">COUNTA('Neo Geo y Arcade'!$A$4:$A$23)</f>
        <v>20</v>
      </c>
      <c r="C24" s="28" t="n">
        <f aca="false">COUNTIF('Neo Geo y Arcade'!$F$4:$F$23,"Funciona")</f>
        <v>19</v>
      </c>
      <c r="D24" s="28" t="n">
        <f aca="false">COUNTIF('Neo Geo y Arcade'!$F$4:$F$23,"Con reservas")</f>
        <v>1</v>
      </c>
      <c r="E24" s="28" t="n">
        <f aca="false">IFERROR(AVERAGE('Neo Geo y Arcade'!$B$4:$B$23),"—")</f>
        <v>80.8571428571429</v>
      </c>
      <c r="F24" s="28" t="n">
        <f aca="false">IF(COUNT('Neo Geo y Arcade'!$B$4:$B$23)=0,"—",MAX('Neo Geo y Arcade'!$B$4:$B$23))</f>
        <v>86</v>
      </c>
      <c r="G24" s="29" t="s">
        <v>388</v>
      </c>
      <c r="H24" s="29"/>
      <c r="I24" s="29"/>
      <c r="J24" s="1"/>
      <c r="K24" s="1"/>
      <c r="L24" s="1"/>
      <c r="M24" s="1"/>
    </row>
    <row r="25" customFormat="false" ht="15" hidden="false" customHeight="false" outlineLevel="0" collapsed="false">
      <c r="A25" s="30" t="str">
        <f aca="false">HYPERLINK("#'PS1'!A1","PS1")</f>
        <v>PS1</v>
      </c>
      <c r="B25" s="31" t="n">
        <f aca="false">COUNTA(PS1!$A$4:$A$25)</f>
        <v>22</v>
      </c>
      <c r="C25" s="31" t="n">
        <f aca="false">COUNTIF(PS1!$F$4:$F$25,"Funciona")</f>
        <v>22</v>
      </c>
      <c r="D25" s="31" t="n">
        <f aca="false">COUNTIF(PS1!$F$4:$F$25,"Con reservas")</f>
        <v>0</v>
      </c>
      <c r="E25" s="31" t="n">
        <f aca="false">IFERROR(AVERAGE(PS1!$B$4:$B$25),"—")</f>
        <v>91.1818181818182</v>
      </c>
      <c r="F25" s="31" t="n">
        <f aca="false">IF(COUNT(PS1!$B$4:$B$25)=0,"—",MAX(PS1!$B$4:$B$25))</f>
        <v>98</v>
      </c>
      <c r="G25" s="32" t="s">
        <v>389</v>
      </c>
      <c r="H25" s="32"/>
      <c r="I25" s="32"/>
      <c r="J25" s="1"/>
      <c r="K25" s="1"/>
      <c r="L25" s="1"/>
      <c r="M25" s="1"/>
    </row>
    <row r="26" customFormat="false" ht="15" hidden="false" customHeight="false" outlineLevel="0" collapsed="false">
      <c r="A26" s="27" t="str">
        <f aca="false">HYPERLINK("#'N64'!A1","N64")</f>
        <v>N64</v>
      </c>
      <c r="B26" s="28" t="n">
        <f aca="false">COUNTA(N64!$A$4:$A$21)</f>
        <v>18</v>
      </c>
      <c r="C26" s="28" t="n">
        <f aca="false">COUNTIF(N64!$F$4:$F$21,"Funciona")</f>
        <v>4</v>
      </c>
      <c r="D26" s="28" t="n">
        <f aca="false">COUNTIF(N64!$F$4:$F$21,"Con reservas")</f>
        <v>14</v>
      </c>
      <c r="E26" s="28" t="n">
        <f aca="false">IFERROR(AVERAGE(N64!$B$4:$B$21),"—")</f>
        <v>89.9444444444444</v>
      </c>
      <c r="F26" s="28" t="n">
        <f aca="false">IF(COUNT(N64!$B$4:$B$21)=0,"—",MAX(N64!$B$4:$B$21))</f>
        <v>99</v>
      </c>
      <c r="G26" s="29" t="s">
        <v>390</v>
      </c>
      <c r="H26" s="29"/>
      <c r="I26" s="29"/>
      <c r="J26" s="1"/>
      <c r="K26" s="1"/>
      <c r="L26" s="1"/>
      <c r="M26" s="1"/>
    </row>
    <row r="27" customFormat="false" ht="15" hidden="false" customHeight="false" outlineLevel="0" collapsed="false">
      <c r="A27" s="30" t="str">
        <f aca="false">HYPERLINK("#'DS'!A1","DS")</f>
        <v>DS</v>
      </c>
      <c r="B27" s="31" t="n">
        <f aca="false">COUNTA(DS!$A$4:$A$23)</f>
        <v>20</v>
      </c>
      <c r="C27" s="31" t="n">
        <f aca="false">COUNTIF(DS!$F$4:$F$23,"Funciona")</f>
        <v>15</v>
      </c>
      <c r="D27" s="31" t="n">
        <f aca="false">COUNTIF(DS!$F$4:$F$23,"Con reservas")</f>
        <v>5</v>
      </c>
      <c r="E27" s="31" t="n">
        <f aca="false">IFERROR(AVERAGE(DS!$B$4:$B$23),"—")</f>
        <v>87.1111111111111</v>
      </c>
      <c r="F27" s="31" t="n">
        <f aca="false">IF(COUNT(DS!$B$4:$B$23)=0,"—",MAX(DS!$B$4:$B$23))</f>
        <v>93</v>
      </c>
      <c r="G27" s="32" t="s">
        <v>391</v>
      </c>
      <c r="H27" s="32"/>
      <c r="I27" s="32"/>
      <c r="J27" s="1"/>
      <c r="K27" s="1"/>
      <c r="L27" s="1"/>
      <c r="M27" s="1"/>
    </row>
    <row r="28" customFormat="false" ht="15" hidden="false" customHeight="false" outlineLevel="0" collapsed="false">
      <c r="A28" s="27" t="str">
        <f aca="false">HYPERLINK("#'PSP'!A1","PSP")</f>
        <v>PSP</v>
      </c>
      <c r="B28" s="28" t="n">
        <f aca="false">COUNTA(PSP!$A$4:$A$23)</f>
        <v>20</v>
      </c>
      <c r="C28" s="28" t="n">
        <f aca="false">COUNTIF(PSP!$F$4:$F$23,"Funciona")</f>
        <v>0</v>
      </c>
      <c r="D28" s="28" t="n">
        <f aca="false">COUNTIF(PSP!$F$4:$F$23,"Con reservas")</f>
        <v>20</v>
      </c>
      <c r="E28" s="28" t="n">
        <f aca="false">IFERROR(AVERAGE(PSP!$B$4:$B$23),"—")</f>
        <v>85.1578947368421</v>
      </c>
      <c r="F28" s="28" t="n">
        <f aca="false">IF(COUNT(PSP!$B$4:$B$23)=0,"—",MAX(PSP!$B$4:$B$23))</f>
        <v>91</v>
      </c>
      <c r="G28" s="29" t="s">
        <v>392</v>
      </c>
      <c r="H28" s="29"/>
      <c r="I28" s="29"/>
      <c r="J28" s="1"/>
      <c r="K28" s="1"/>
      <c r="L28" s="1"/>
      <c r="M28" s="1"/>
    </row>
    <row r="29" customFormat="false" ht="15" hidden="false" customHeight="false" outlineLevel="0" collapsed="false">
      <c r="A29" s="30" t="str">
        <f aca="false">HYPERLINK("#'Android (APK)'!A1","Android (APK)")</f>
        <v>Android (APK)</v>
      </c>
      <c r="B29" s="31" t="n">
        <f aca="false">COUNTA('Android (APK)'!$A$4:$A$52)</f>
        <v>49</v>
      </c>
      <c r="C29" s="31" t="n">
        <f aca="false">COUNTIF('Android (APK)'!$F$4:$F$52,"Funciona")</f>
        <v>5</v>
      </c>
      <c r="D29" s="31" t="n">
        <f aca="false">COUNTIF('Android (APK)'!$F$4:$F$52,"Con reservas")</f>
        <v>0</v>
      </c>
      <c r="E29" s="31" t="n">
        <f aca="false">IFERROR(AVERAGE('Android (APK)'!$B$4:$B$52),"—")</f>
        <v>86.0731707317073</v>
      </c>
      <c r="F29" s="31" t="n">
        <f aca="false">IF(COUNT('Android (APK)'!$B$4:$B$52)=0,"—",MAX('Android (APK)'!$B$4:$B$52))</f>
        <v>94</v>
      </c>
      <c r="G29" s="32" t="s">
        <v>393</v>
      </c>
      <c r="H29" s="32"/>
      <c r="I29" s="32"/>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row r="49" customFormat="false" ht="15" hidden="false" customHeight="false" outlineLevel="0" collapsed="false">
      <c r="A49" s="1"/>
      <c r="B49" s="1"/>
      <c r="C49" s="1"/>
      <c r="D49" s="1"/>
      <c r="E49" s="1"/>
      <c r="F49" s="1"/>
      <c r="G49" s="1"/>
      <c r="H49" s="1"/>
      <c r="I49" s="1"/>
      <c r="J49" s="1"/>
      <c r="K49" s="1"/>
      <c r="L49" s="1"/>
      <c r="M49" s="1"/>
    </row>
    <row r="50" customFormat="false" ht="15" hidden="false" customHeight="false" outlineLevel="0" collapsed="false">
      <c r="A50" s="1"/>
      <c r="B50" s="1"/>
      <c r="C50" s="1"/>
      <c r="D50" s="1"/>
      <c r="E50" s="1"/>
      <c r="F50" s="1"/>
      <c r="G50" s="1"/>
      <c r="H50" s="1"/>
      <c r="I50" s="1"/>
      <c r="J50" s="1"/>
      <c r="K50" s="1"/>
      <c r="L50" s="1"/>
      <c r="M50" s="1"/>
    </row>
    <row r="51" customFormat="false" ht="15" hidden="false" customHeight="false" outlineLevel="0" collapsed="false">
      <c r="A51" s="1"/>
      <c r="B51" s="1"/>
      <c r="C51" s="1"/>
      <c r="D51" s="1"/>
      <c r="E51" s="1"/>
      <c r="F51" s="1"/>
      <c r="G51" s="1"/>
      <c r="H51" s="1"/>
      <c r="I51" s="1"/>
      <c r="J51" s="1"/>
      <c r="K51" s="1"/>
      <c r="L51" s="1"/>
      <c r="M51" s="1"/>
    </row>
    <row r="52" customFormat="false" ht="15" hidden="false" customHeight="false" outlineLevel="0" collapsed="false">
      <c r="A52" s="1"/>
      <c r="B52" s="1"/>
      <c r="C52" s="1"/>
      <c r="D52" s="1"/>
      <c r="E52" s="1"/>
      <c r="F52" s="1"/>
      <c r="G52" s="1"/>
      <c r="H52" s="1"/>
      <c r="I52" s="1"/>
      <c r="J52" s="1"/>
      <c r="K52" s="1"/>
      <c r="L52" s="1"/>
      <c r="M52" s="1"/>
    </row>
    <row r="53" customFormat="false" ht="15" hidden="false" customHeight="false" outlineLevel="0" collapsed="false">
      <c r="A53" s="1"/>
      <c r="B53" s="1"/>
      <c r="C53" s="1"/>
      <c r="D53" s="1"/>
      <c r="E53" s="1"/>
      <c r="F53" s="1"/>
      <c r="G53" s="1"/>
      <c r="H53" s="1"/>
      <c r="I53" s="1"/>
      <c r="J53" s="1"/>
      <c r="K53" s="1"/>
      <c r="L53" s="1"/>
      <c r="M53" s="1"/>
    </row>
    <row r="54" customFormat="false" ht="15" hidden="false" customHeight="false" outlineLevel="0" collapsed="false">
      <c r="A54" s="1"/>
      <c r="B54" s="1"/>
      <c r="C54" s="1"/>
      <c r="D54" s="1"/>
      <c r="E54" s="1"/>
      <c r="F54" s="1"/>
      <c r="G54" s="1"/>
      <c r="H54" s="1"/>
      <c r="I54" s="1"/>
      <c r="J54" s="1"/>
      <c r="K54" s="1"/>
      <c r="L54" s="1"/>
      <c r="M54" s="1"/>
    </row>
  </sheetData>
  <mergeCells count="13">
    <mergeCell ref="G17:I17"/>
    <mergeCell ref="G18:I18"/>
    <mergeCell ref="G19:I19"/>
    <mergeCell ref="G20:I20"/>
    <mergeCell ref="G21:I21"/>
    <mergeCell ref="G22:I22"/>
    <mergeCell ref="G23:I23"/>
    <mergeCell ref="G24:I24"/>
    <mergeCell ref="G25:I25"/>
    <mergeCell ref="G26:I26"/>
    <mergeCell ref="G27:I27"/>
    <mergeCell ref="G28:I28"/>
    <mergeCell ref="G29:I29"/>
  </mergeCells>
  <conditionalFormatting sqref="A7:A10">
    <cfRule type="cellIs" priority="2" operator="equal" aboveAverage="0" equalAverage="0" bottom="0" percent="0" rank="0" text="" dxfId="16">
      <formula>"Funciona"</formula>
    </cfRule>
    <cfRule type="cellIs" priority="3" operator="equal" aboveAverage="0" equalAverage="0" bottom="0" percent="0" rank="0" text="" dxfId="18">
      <formula>"Con reservas"</formula>
    </cfRule>
    <cfRule type="cellIs" priority="4" operator="equal" aboveAverage="0" equalAverage="0" bottom="0" percent="0" rank="0" text="" dxfId="20">
      <formula>"Proyecto"</formula>
    </cfRule>
    <cfRule type="cellIs" priority="5"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CDC"/>
    <pageSetUpPr fitToPage="true"/>
  </sheetPr>
  <dimension ref="A1:I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4"/>
    <col collapsed="false" customWidth="true" hidden="false" outlineLevel="0" max="4" min="4" style="0" width="52"/>
    <col collapsed="false" customWidth="true" hidden="false" outlineLevel="0" max="5" min="5" style="0" width="40"/>
  </cols>
  <sheetData>
    <row r="1" customFormat="false" ht="75.75" hidden="false" customHeight="true" outlineLevel="0" collapsed="false">
      <c r="A1" s="1"/>
      <c r="B1" s="1"/>
      <c r="C1" s="1"/>
      <c r="D1" s="1"/>
      <c r="E1" s="1"/>
      <c r="F1" s="1"/>
      <c r="G1" s="1"/>
      <c r="H1" s="1"/>
      <c r="I1" s="1"/>
    </row>
    <row r="2" customFormat="false" ht="6" hidden="false" customHeight="true" outlineLevel="0" collapsed="false">
      <c r="A2" s="1"/>
      <c r="B2" s="1"/>
      <c r="C2" s="1"/>
      <c r="D2" s="1"/>
      <c r="E2" s="1"/>
      <c r="F2" s="1"/>
      <c r="G2" s="1"/>
      <c r="H2" s="1"/>
      <c r="I2" s="1"/>
    </row>
    <row r="3" customFormat="false" ht="21.75" hidden="false" customHeight="true" outlineLevel="0" collapsed="false">
      <c r="A3" s="2" t="s">
        <v>394</v>
      </c>
      <c r="B3" s="2" t="s">
        <v>103</v>
      </c>
      <c r="C3" s="2" t="s">
        <v>395</v>
      </c>
      <c r="D3" s="2" t="s">
        <v>396</v>
      </c>
      <c r="E3" s="2" t="s">
        <v>397</v>
      </c>
      <c r="F3" s="1"/>
      <c r="G3" s="1"/>
      <c r="H3" s="1"/>
      <c r="I3" s="1"/>
    </row>
    <row r="4" customFormat="false" ht="23.85" hidden="false" customHeight="false" outlineLevel="0" collapsed="false">
      <c r="A4" s="33" t="n">
        <v>1</v>
      </c>
      <c r="B4" s="3" t="s">
        <v>398</v>
      </c>
      <c r="C4" s="6" t="s">
        <v>399</v>
      </c>
      <c r="D4" s="6" t="s">
        <v>400</v>
      </c>
      <c r="E4" s="6" t="s">
        <v>401</v>
      </c>
      <c r="F4" s="1"/>
      <c r="G4" s="1"/>
      <c r="H4" s="1"/>
      <c r="I4" s="1"/>
    </row>
    <row r="5" customFormat="false" ht="23.85" hidden="false" customHeight="false" outlineLevel="0" collapsed="false">
      <c r="A5" s="34" t="n">
        <v>2</v>
      </c>
      <c r="B5" s="8" t="s">
        <v>402</v>
      </c>
      <c r="C5" s="11" t="s">
        <v>403</v>
      </c>
      <c r="D5" s="11" t="s">
        <v>404</v>
      </c>
      <c r="E5" s="11" t="s">
        <v>405</v>
      </c>
      <c r="F5" s="1"/>
      <c r="G5" s="1"/>
      <c r="H5" s="1"/>
      <c r="I5" s="1"/>
    </row>
    <row r="6" customFormat="false" ht="46.25" hidden="false" customHeight="false" outlineLevel="0" collapsed="false">
      <c r="A6" s="33" t="n">
        <v>3</v>
      </c>
      <c r="B6" s="3" t="s">
        <v>406</v>
      </c>
      <c r="C6" s="6" t="s">
        <v>403</v>
      </c>
      <c r="D6" s="6" t="s">
        <v>407</v>
      </c>
      <c r="E6" s="6" t="s">
        <v>408</v>
      </c>
      <c r="F6" s="1"/>
      <c r="G6" s="1"/>
      <c r="H6" s="1"/>
      <c r="I6" s="1"/>
    </row>
    <row r="7" customFormat="false" ht="23.85" hidden="false" customHeight="false" outlineLevel="0" collapsed="false">
      <c r="A7" s="34" t="n">
        <v>4</v>
      </c>
      <c r="B7" s="8" t="s">
        <v>409</v>
      </c>
      <c r="C7" s="11" t="s">
        <v>410</v>
      </c>
      <c r="D7" s="11" t="s">
        <v>411</v>
      </c>
      <c r="E7" s="11" t="s">
        <v>412</v>
      </c>
      <c r="F7" s="1"/>
      <c r="G7" s="1"/>
      <c r="H7" s="1"/>
      <c r="I7" s="1"/>
    </row>
    <row r="8" customFormat="false" ht="15" hidden="false" customHeight="false" outlineLevel="0" collapsed="false">
      <c r="A8" s="33" t="n">
        <v>5</v>
      </c>
      <c r="B8" s="3" t="s">
        <v>413</v>
      </c>
      <c r="C8" s="6" t="s">
        <v>403</v>
      </c>
      <c r="D8" s="6" t="s">
        <v>414</v>
      </c>
      <c r="E8" s="6" t="s">
        <v>415</v>
      </c>
      <c r="F8" s="1"/>
      <c r="G8" s="1"/>
      <c r="H8" s="1"/>
      <c r="I8" s="1"/>
    </row>
    <row r="9" customFormat="false" ht="15" hidden="false" customHeight="false" outlineLevel="0" collapsed="false">
      <c r="A9" s="34" t="n">
        <v>6</v>
      </c>
      <c r="B9" s="8" t="s">
        <v>319</v>
      </c>
      <c r="C9" s="11" t="s">
        <v>403</v>
      </c>
      <c r="D9" s="11" t="s">
        <v>416</v>
      </c>
      <c r="E9" s="11" t="s">
        <v>417</v>
      </c>
      <c r="F9" s="1"/>
      <c r="G9" s="1"/>
      <c r="H9" s="1"/>
      <c r="I9" s="1"/>
    </row>
    <row r="10" customFormat="false" ht="23.85" hidden="false" customHeight="false" outlineLevel="0" collapsed="false">
      <c r="A10" s="33" t="n">
        <v>7</v>
      </c>
      <c r="B10" s="3" t="s">
        <v>286</v>
      </c>
      <c r="C10" s="6" t="s">
        <v>418</v>
      </c>
      <c r="D10" s="6" t="s">
        <v>419</v>
      </c>
      <c r="E10" s="6" t="s">
        <v>420</v>
      </c>
      <c r="F10" s="1"/>
      <c r="G10" s="1"/>
      <c r="H10" s="1"/>
      <c r="I10" s="1"/>
    </row>
    <row r="11" customFormat="false" ht="23.85" hidden="false" customHeight="false" outlineLevel="0" collapsed="false">
      <c r="A11" s="34" t="n">
        <v>8</v>
      </c>
      <c r="B11" s="8" t="s">
        <v>276</v>
      </c>
      <c r="C11" s="11" t="s">
        <v>418</v>
      </c>
      <c r="D11" s="11" t="s">
        <v>421</v>
      </c>
      <c r="E11" s="11" t="s">
        <v>422</v>
      </c>
      <c r="F11" s="1"/>
      <c r="G11" s="1"/>
      <c r="H11" s="1"/>
      <c r="I11" s="1"/>
    </row>
    <row r="12" customFormat="false" ht="15" hidden="false" customHeight="false" outlineLevel="0" collapsed="false">
      <c r="A12" s="33" t="n">
        <v>9</v>
      </c>
      <c r="B12" s="3" t="s">
        <v>108</v>
      </c>
      <c r="C12" s="6" t="s">
        <v>418</v>
      </c>
      <c r="D12" s="6" t="s">
        <v>423</v>
      </c>
      <c r="E12" s="6" t="s">
        <v>424</v>
      </c>
      <c r="F12" s="1"/>
      <c r="G12" s="1"/>
      <c r="H12" s="1"/>
      <c r="I12" s="1"/>
    </row>
    <row r="13" customFormat="false" ht="15" hidden="false" customHeight="false" outlineLevel="0" collapsed="false">
      <c r="A13" s="1"/>
      <c r="B13" s="1"/>
      <c r="C13" s="1"/>
      <c r="D13" s="1"/>
      <c r="E13" s="1"/>
      <c r="F13" s="1"/>
      <c r="G13" s="1"/>
      <c r="H13" s="1"/>
      <c r="I13" s="1"/>
    </row>
    <row r="14" customFormat="false" ht="15" hidden="false" customHeight="false" outlineLevel="0" collapsed="false">
      <c r="A14" s="1"/>
      <c r="B14" s="1"/>
      <c r="C14" s="1"/>
      <c r="D14" s="1"/>
      <c r="E14" s="1"/>
      <c r="F14" s="1"/>
      <c r="G14" s="1"/>
      <c r="H14" s="1"/>
      <c r="I14" s="1"/>
    </row>
    <row r="15" customFormat="false" ht="15" hidden="false" customHeight="false" outlineLevel="0" collapsed="false">
      <c r="A15" s="1"/>
      <c r="B15" s="1"/>
      <c r="C15" s="1"/>
      <c r="D15" s="1"/>
      <c r="E15" s="1"/>
      <c r="F15" s="1"/>
      <c r="G15" s="1"/>
      <c r="H15" s="1"/>
      <c r="I15" s="1"/>
    </row>
    <row r="16" customFormat="false" ht="15" hidden="false" customHeight="false" outlineLevel="0" collapsed="false">
      <c r="A16" s="1"/>
      <c r="B16" s="1"/>
      <c r="C16" s="1"/>
      <c r="D16" s="1"/>
      <c r="E16" s="1"/>
      <c r="F16" s="1"/>
      <c r="G16" s="1"/>
      <c r="H16" s="1"/>
      <c r="I16" s="1"/>
    </row>
    <row r="17" customFormat="false" ht="15" hidden="false" customHeight="false" outlineLevel="0" collapsed="false">
      <c r="A17" s="1"/>
      <c r="B17" s="1"/>
      <c r="C17" s="1"/>
      <c r="D17" s="1"/>
      <c r="E17" s="1"/>
      <c r="F17" s="1"/>
      <c r="G17" s="1"/>
      <c r="H17" s="1"/>
      <c r="I17" s="1"/>
    </row>
    <row r="18" customFormat="false" ht="15" hidden="false" customHeight="false" outlineLevel="0" collapsed="false">
      <c r="A18" s="1"/>
      <c r="B18" s="1"/>
      <c r="C18" s="1"/>
      <c r="D18" s="1"/>
      <c r="E18" s="1"/>
      <c r="F18" s="1"/>
      <c r="G18" s="1"/>
      <c r="H18" s="1"/>
      <c r="I18" s="1"/>
    </row>
    <row r="19" customFormat="false" ht="15" hidden="false" customHeight="false" outlineLevel="0" collapsed="false">
      <c r="A19" s="1"/>
      <c r="B19" s="1"/>
      <c r="C19" s="1"/>
      <c r="D19" s="1"/>
      <c r="E19" s="1"/>
      <c r="F19" s="1"/>
      <c r="G19" s="1"/>
      <c r="H19" s="1"/>
      <c r="I19" s="1"/>
    </row>
    <row r="20" customFormat="false" ht="15" hidden="false" customHeight="false" outlineLevel="0" collapsed="false">
      <c r="A20" s="1"/>
      <c r="B20" s="1"/>
      <c r="C20" s="1"/>
      <c r="D20" s="1"/>
      <c r="E20" s="1"/>
      <c r="F20" s="1"/>
      <c r="G20" s="1"/>
      <c r="H20" s="1"/>
      <c r="I20" s="1"/>
    </row>
    <row r="21" customFormat="false" ht="15" hidden="false" customHeight="false" outlineLevel="0" collapsed="false">
      <c r="A21" s="1"/>
      <c r="B21" s="1"/>
      <c r="C21" s="1"/>
      <c r="D21" s="1"/>
      <c r="E21" s="1"/>
      <c r="F21" s="1"/>
      <c r="G21" s="1"/>
      <c r="H21" s="1"/>
      <c r="I21" s="1"/>
    </row>
    <row r="22" customFormat="false" ht="15" hidden="false" customHeight="false" outlineLevel="0" collapsed="false">
      <c r="A22" s="1"/>
      <c r="B22" s="1"/>
      <c r="C22" s="1"/>
      <c r="D22" s="1"/>
      <c r="E22" s="1"/>
      <c r="F22" s="1"/>
      <c r="G22" s="1"/>
      <c r="H22" s="1"/>
      <c r="I22" s="1"/>
    </row>
    <row r="23" customFormat="false" ht="15" hidden="false" customHeight="false" outlineLevel="0" collapsed="false">
      <c r="A23" s="1"/>
      <c r="B23" s="1"/>
      <c r="C23" s="1"/>
      <c r="D23" s="1"/>
      <c r="E23" s="1"/>
      <c r="F23" s="1"/>
      <c r="G23" s="1"/>
      <c r="H23" s="1"/>
      <c r="I23" s="1"/>
    </row>
    <row r="24" customFormat="false" ht="15" hidden="false" customHeight="false" outlineLevel="0" collapsed="false">
      <c r="A24" s="1"/>
      <c r="B24" s="1"/>
      <c r="C24" s="1"/>
      <c r="D24" s="1"/>
      <c r="E24" s="1"/>
      <c r="F24" s="1"/>
      <c r="G24" s="1"/>
      <c r="H24" s="1"/>
      <c r="I24" s="1"/>
    </row>
    <row r="25" customFormat="false" ht="15" hidden="false" customHeight="false" outlineLevel="0" collapsed="false">
      <c r="A25" s="1"/>
      <c r="B25" s="1"/>
      <c r="C25" s="1"/>
      <c r="D25" s="1"/>
      <c r="E25" s="1"/>
      <c r="F25" s="1"/>
      <c r="G25" s="1"/>
      <c r="H25" s="1"/>
      <c r="I25" s="1"/>
    </row>
    <row r="26" customFormat="false" ht="15" hidden="false" customHeight="false" outlineLevel="0" collapsed="false">
      <c r="A26" s="1"/>
      <c r="B26" s="1"/>
      <c r="C26" s="1"/>
      <c r="D26" s="1"/>
      <c r="E26" s="1"/>
      <c r="F26" s="1"/>
      <c r="G26" s="1"/>
      <c r="H26" s="1"/>
      <c r="I26" s="1"/>
    </row>
    <row r="27" customFormat="false" ht="15" hidden="false" customHeight="false" outlineLevel="0" collapsed="false">
      <c r="A27" s="1"/>
      <c r="B27" s="1"/>
      <c r="C27" s="1"/>
      <c r="D27" s="1"/>
      <c r="E27" s="1"/>
      <c r="F27" s="1"/>
      <c r="G27" s="1"/>
      <c r="H27" s="1"/>
      <c r="I27" s="1"/>
    </row>
    <row r="28" customFormat="false" ht="15" hidden="false" customHeight="false" outlineLevel="0" collapsed="false">
      <c r="A28" s="1"/>
      <c r="B28" s="1"/>
      <c r="C28" s="1"/>
      <c r="D28" s="1"/>
      <c r="E28" s="1"/>
      <c r="F28" s="1"/>
      <c r="G28" s="1"/>
      <c r="H28" s="1"/>
      <c r="I28" s="1"/>
    </row>
    <row r="29" customFormat="false" ht="15" hidden="false" customHeight="false" outlineLevel="0" collapsed="false">
      <c r="A29" s="1"/>
      <c r="B29" s="1"/>
      <c r="C29" s="1"/>
      <c r="D29" s="1"/>
      <c r="E29" s="1"/>
      <c r="F29" s="1"/>
      <c r="G29" s="1"/>
      <c r="H29" s="1"/>
      <c r="I29" s="1"/>
    </row>
    <row r="30" customFormat="false" ht="15" hidden="false" customHeight="false" outlineLevel="0" collapsed="false">
      <c r="A30" s="1"/>
      <c r="B30" s="1"/>
      <c r="C30" s="1"/>
      <c r="D30" s="1"/>
      <c r="E30" s="1"/>
      <c r="F30" s="1"/>
      <c r="G30" s="1"/>
      <c r="H30" s="1"/>
      <c r="I30" s="1"/>
    </row>
    <row r="31" customFormat="false" ht="15" hidden="false" customHeight="false" outlineLevel="0" collapsed="false">
      <c r="A31" s="1"/>
      <c r="B31" s="1"/>
      <c r="C31" s="1"/>
      <c r="D31" s="1"/>
      <c r="E31" s="1"/>
      <c r="F31" s="1"/>
      <c r="G31" s="1"/>
      <c r="H31" s="1"/>
      <c r="I31" s="1"/>
    </row>
    <row r="32" customFormat="false" ht="15" hidden="false" customHeight="false" outlineLevel="0" collapsed="false">
      <c r="A32" s="1"/>
      <c r="B32" s="1"/>
      <c r="C32" s="1"/>
      <c r="D32" s="1"/>
      <c r="E32" s="1"/>
      <c r="F32" s="1"/>
      <c r="G32" s="1"/>
      <c r="H32" s="1"/>
      <c r="I32" s="1"/>
    </row>
    <row r="33" customFormat="false" ht="15" hidden="false" customHeight="false" outlineLevel="0" collapsed="false">
      <c r="A33" s="1"/>
      <c r="B33" s="1"/>
      <c r="C33" s="1"/>
      <c r="D33" s="1"/>
      <c r="E33" s="1"/>
      <c r="F33" s="1"/>
      <c r="G33" s="1"/>
      <c r="H33" s="1"/>
      <c r="I33" s="1"/>
    </row>
    <row r="34" customFormat="false" ht="15" hidden="false" customHeight="false" outlineLevel="0" collapsed="false">
      <c r="A34" s="1"/>
      <c r="B34" s="1"/>
      <c r="C34" s="1"/>
      <c r="D34" s="1"/>
      <c r="E34" s="1"/>
      <c r="F34" s="1"/>
      <c r="G34" s="1"/>
      <c r="H34" s="1"/>
      <c r="I34" s="1"/>
    </row>
    <row r="35" customFormat="false" ht="15" hidden="false" customHeight="false" outlineLevel="0" collapsed="false">
      <c r="A35" s="1"/>
      <c r="B35" s="1"/>
      <c r="C35" s="1"/>
      <c r="D35" s="1"/>
      <c r="E35" s="1"/>
      <c r="F35" s="1"/>
      <c r="G35" s="1"/>
      <c r="H35" s="1"/>
      <c r="I35" s="1"/>
    </row>
    <row r="36" customFormat="false" ht="15" hidden="false" customHeight="false" outlineLevel="0" collapsed="false">
      <c r="A36" s="1"/>
      <c r="B36" s="1"/>
      <c r="C36" s="1"/>
      <c r="D36" s="1"/>
      <c r="E36" s="1"/>
      <c r="F36" s="1"/>
      <c r="G36" s="1"/>
      <c r="H36" s="1"/>
      <c r="I36" s="1"/>
    </row>
    <row r="37" customFormat="false" ht="15" hidden="false" customHeight="false" outlineLevel="0" collapsed="false">
      <c r="A37" s="1"/>
      <c r="B37" s="1"/>
      <c r="C37" s="1"/>
      <c r="D37" s="1"/>
      <c r="E37" s="1"/>
      <c r="F37" s="1"/>
      <c r="G37" s="1"/>
      <c r="H37" s="1"/>
      <c r="I37" s="1"/>
    </row>
  </sheetData>
  <autoFilter ref="A3:E12"/>
  <conditionalFormatting sqref="C4:C12">
    <cfRule type="cellIs" priority="2" operator="equal" aboveAverage="0" equalAverage="0" bottom="0" percent="0" rank="0" text="" dxfId="16">
      <formula>"Bajo"</formula>
    </cfRule>
    <cfRule type="cellIs" priority="3" operator="equal" aboveAverage="0" equalAverage="0" bottom="0" percent="0" rank="0" text="" dxfId="17">
      <formula>"Bajo a medio"</formula>
    </cfRule>
    <cfRule type="cellIs" priority="4" operator="equal" aboveAverage="0" equalAverage="0" bottom="0" percent="0" rank="0" text="" dxfId="18">
      <formula>"Medio"</formula>
    </cfRule>
    <cfRule type="cellIs" priority="5" operator="equal" aboveAverage="0" equalAverage="0" bottom="0" percent="0" rank="0" text="" dxfId="19">
      <formula>"Alto"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425</v>
      </c>
      <c r="B2" s="1"/>
      <c r="C2" s="1"/>
      <c r="D2" s="1"/>
      <c r="E2" s="1"/>
      <c r="F2" s="1"/>
      <c r="G2" s="1"/>
      <c r="H2" s="1"/>
      <c r="I2" s="1"/>
      <c r="J2" s="1"/>
      <c r="K2" s="1"/>
      <c r="L2" s="1"/>
      <c r="M2" s="1"/>
    </row>
    <row r="3" customFormat="false" ht="21.75" hidden="false" customHeight="true" outlineLevel="0" collapsed="false">
      <c r="A3" s="2" t="s">
        <v>0</v>
      </c>
      <c r="B3" s="2" t="s">
        <v>1</v>
      </c>
      <c r="C3" s="2" t="s">
        <v>2</v>
      </c>
      <c r="D3" s="2" t="s">
        <v>426</v>
      </c>
      <c r="E3" s="2" t="s">
        <v>427</v>
      </c>
      <c r="F3" s="2" t="s">
        <v>4</v>
      </c>
      <c r="G3" s="2" t="s">
        <v>381</v>
      </c>
      <c r="H3" s="2" t="s">
        <v>8</v>
      </c>
      <c r="I3" s="2" t="s">
        <v>9</v>
      </c>
      <c r="J3" s="1"/>
      <c r="K3" s="1"/>
      <c r="L3" s="1"/>
      <c r="M3" s="1"/>
    </row>
    <row r="4" customFormat="false" ht="15" hidden="false" customHeight="false" outlineLevel="0" collapsed="false">
      <c r="A4" s="3" t="s">
        <v>428</v>
      </c>
      <c r="B4" s="4" t="n">
        <v>97</v>
      </c>
      <c r="C4" s="5" t="str">
        <f aca="false">IF(B4="","Sin puntaje",IF(B4&gt;=90,"Obra maestra (90+)",IF(B4&gt;=80,"Muy bueno (80-89)",IF(B4&gt;=70,"Bueno (70-79)","Regular (&lt;70)"))))</f>
        <v>Obra maestra (90+)</v>
      </c>
      <c r="D4" s="33" t="n">
        <v>1988</v>
      </c>
      <c r="E4" s="6" t="s">
        <v>429</v>
      </c>
      <c r="F4" s="6" t="s">
        <v>13</v>
      </c>
      <c r="G4" s="6" t="s">
        <v>382</v>
      </c>
      <c r="H4" s="6"/>
      <c r="I4" s="7" t="str">
        <f aca="false">HYPERLINK("https://ru.ruwiki.ru/wiki/Super_Mario_(%D1%81%D0%B5%D1%80%D0%B8%D1%8F_%D0%B8%D0%B3%D1%80)","GameRankings NES")</f>
        <v>GameRankings NES</v>
      </c>
      <c r="J4" s="1"/>
      <c r="K4" s="1"/>
      <c r="L4" s="1"/>
      <c r="M4" s="1"/>
    </row>
    <row r="5" customFormat="false" ht="15" hidden="false" customHeight="false" outlineLevel="0" collapsed="false">
      <c r="A5" s="8" t="s">
        <v>430</v>
      </c>
      <c r="B5" s="9" t="n">
        <v>88</v>
      </c>
      <c r="C5" s="10" t="str">
        <f aca="false">IF(B5="","Sin puntaje",IF(B5&gt;=90,"Obra maestra (90+)",IF(B5&gt;=80,"Muy bueno (80-89)",IF(B5&gt;=70,"Bueno (70-79)","Regular (&lt;70)"))))</f>
        <v>Muy bueno (80-89)</v>
      </c>
      <c r="D5" s="34" t="n">
        <v>1988</v>
      </c>
      <c r="E5" s="11" t="s">
        <v>431</v>
      </c>
      <c r="F5" s="11" t="s">
        <v>13</v>
      </c>
      <c r="G5" s="11" t="s">
        <v>382</v>
      </c>
      <c r="H5" s="11"/>
      <c r="I5" s="12" t="str">
        <f aca="false">HYPERLINK("https://www.mobygames.com/game/98429/contra/","MobyGames NES")</f>
        <v>MobyGames NES</v>
      </c>
      <c r="J5" s="1"/>
      <c r="K5" s="1"/>
      <c r="L5" s="1"/>
      <c r="M5" s="1"/>
    </row>
    <row r="6" customFormat="false" ht="15" hidden="false" customHeight="false" outlineLevel="0" collapsed="false">
      <c r="A6" s="3" t="s">
        <v>432</v>
      </c>
      <c r="B6" s="4" t="n">
        <v>88</v>
      </c>
      <c r="C6" s="5" t="str">
        <f aca="false">IF(B6="","Sin puntaje",IF(B6&gt;=90,"Obra maestra (90+)",IF(B6&gt;=80,"Muy bueno (80-89)",IF(B6&gt;=70,"Bueno (70-79)","Regular (&lt;70)"))))</f>
        <v>Muy bueno (80-89)</v>
      </c>
      <c r="D6" s="33" t="n">
        <v>1989</v>
      </c>
      <c r="E6" s="6" t="s">
        <v>433</v>
      </c>
      <c r="F6" s="6" t="s">
        <v>13</v>
      </c>
      <c r="G6" s="6" t="s">
        <v>382</v>
      </c>
      <c r="H6" s="6"/>
      <c r="I6" s="7" t="str">
        <f aca="false">HYPERLINK("https://www.mobygames.com/game/7415/castlevania-iii-draculas-curse/","MobyGames NES")</f>
        <v>MobyGames NES</v>
      </c>
      <c r="J6" s="1"/>
      <c r="K6" s="1"/>
      <c r="L6" s="1"/>
      <c r="M6" s="1"/>
    </row>
    <row r="7" customFormat="false" ht="15" hidden="false" customHeight="false" outlineLevel="0" collapsed="false">
      <c r="A7" s="8" t="s">
        <v>434</v>
      </c>
      <c r="B7" s="9" t="n">
        <v>87</v>
      </c>
      <c r="C7" s="10" t="str">
        <f aca="false">IF(B7="","Sin puntaje",IF(B7&gt;=90,"Obra maestra (90+)",IF(B7&gt;=80,"Muy bueno (80-89)",IF(B7&gt;=70,"Bueno (70-79)","Regular (&lt;70)"))))</f>
        <v>Muy bueno (80-89)</v>
      </c>
      <c r="D7" s="34" t="n">
        <v>1987</v>
      </c>
      <c r="E7" s="11" t="s">
        <v>435</v>
      </c>
      <c r="F7" s="11" t="s">
        <v>13</v>
      </c>
      <c r="G7" s="11" t="s">
        <v>382</v>
      </c>
      <c r="H7" s="11"/>
      <c r="I7" s="12" t="str">
        <f aca="false">HYPERLINK("http://www.mobygames.com/game/nes/mike-tysons-punch-out/mobyrank","MobyGames NES")</f>
        <v>MobyGames NES</v>
      </c>
      <c r="J7" s="1"/>
      <c r="K7" s="1"/>
      <c r="L7" s="1"/>
      <c r="M7" s="1"/>
    </row>
    <row r="8" customFormat="false" ht="15" hidden="false" customHeight="false" outlineLevel="0" collapsed="false">
      <c r="A8" s="3" t="s">
        <v>436</v>
      </c>
      <c r="B8" s="4" t="n">
        <v>87</v>
      </c>
      <c r="C8" s="5" t="str">
        <f aca="false">IF(B8="","Sin puntaje",IF(B8&gt;=90,"Obra maestra (90+)",IF(B8&gt;=80,"Muy bueno (80-89)",IF(B8&gt;=70,"Bueno (70-79)","Regular (&lt;70)"))))</f>
        <v>Muy bueno (80-89)</v>
      </c>
      <c r="D8" s="33" t="n">
        <v>1993</v>
      </c>
      <c r="E8" s="6" t="s">
        <v>429</v>
      </c>
      <c r="F8" s="6" t="s">
        <v>13</v>
      </c>
      <c r="G8" s="6" t="s">
        <v>382</v>
      </c>
      <c r="H8" s="6"/>
      <c r="I8" s="7" t="str">
        <f aca="false">HYPERLINK("https://www.mobygames.com/game/8146/kirbys-adventure/","MobyGames NES")</f>
        <v>MobyGames NES</v>
      </c>
      <c r="J8" s="1"/>
      <c r="K8" s="1"/>
      <c r="L8" s="1"/>
      <c r="M8" s="1"/>
    </row>
    <row r="9" customFormat="false" ht="15" hidden="false" customHeight="false" outlineLevel="0" collapsed="false">
      <c r="A9" s="8" t="s">
        <v>437</v>
      </c>
      <c r="B9" s="9" t="n">
        <v>86</v>
      </c>
      <c r="C9" s="10" t="str">
        <f aca="false">IF(B9="","Sin puntaje",IF(B9&gt;=90,"Obra maestra (90+)",IF(B9&gt;=80,"Muy bueno (80-89)",IF(B9&gt;=70,"Bueno (70-79)","Regular (&lt;70)"))))</f>
        <v>Muy bueno (80-89)</v>
      </c>
      <c r="D9" s="34" t="n">
        <v>1990</v>
      </c>
      <c r="E9" s="11" t="s">
        <v>433</v>
      </c>
      <c r="F9" s="11" t="s">
        <v>13</v>
      </c>
      <c r="G9" s="11" t="s">
        <v>382</v>
      </c>
      <c r="H9" s="11"/>
      <c r="I9" s="12" t="str">
        <f aca="false">HYPERLINK("https://www.mobygames.com/game/1558/mega-man-3/reviews/","MobyGames NES")</f>
        <v>MobyGames NES</v>
      </c>
      <c r="J9" s="1"/>
      <c r="K9" s="1"/>
      <c r="L9" s="1"/>
      <c r="M9" s="1"/>
    </row>
    <row r="10" customFormat="false" ht="15" hidden="false" customHeight="false" outlineLevel="0" collapsed="false">
      <c r="A10" s="3" t="s">
        <v>438</v>
      </c>
      <c r="B10" s="4" t="n">
        <v>85</v>
      </c>
      <c r="C10" s="5" t="str">
        <f aca="false">IF(B10="","Sin puntaje",IF(B10&gt;=90,"Obra maestra (90+)",IF(B10&gt;=80,"Muy bueno (80-89)",IF(B10&gt;=70,"Bueno (70-79)","Regular (&lt;70)"))))</f>
        <v>Muy bueno (80-89)</v>
      </c>
      <c r="D10" s="33" t="n">
        <v>1985</v>
      </c>
      <c r="E10" s="6" t="s">
        <v>429</v>
      </c>
      <c r="F10" s="6" t="s">
        <v>13</v>
      </c>
      <c r="G10" s="6" t="s">
        <v>382</v>
      </c>
      <c r="H10" s="6"/>
      <c r="I10" s="7" t="str">
        <f aca="false">HYPERLINK("https://ru.ruwiki.ru/wiki/Super_Mario_(%D1%81%D0%B5%D1%80%D0%B8%D1%8F_%D0%B8%D0%B3%D1%80)","GameRankings NES")</f>
        <v>GameRankings NES</v>
      </c>
      <c r="J10" s="1"/>
      <c r="K10" s="1"/>
      <c r="L10" s="1"/>
      <c r="M10" s="1"/>
    </row>
    <row r="11" customFormat="false" ht="15" hidden="false" customHeight="false" outlineLevel="0" collapsed="false">
      <c r="A11" s="8" t="s">
        <v>439</v>
      </c>
      <c r="B11" s="9" t="n">
        <v>84</v>
      </c>
      <c r="C11" s="10" t="str">
        <f aca="false">IF(B11="","Sin puntaje",IF(B11&gt;=90,"Obra maestra (90+)",IF(B11&gt;=80,"Muy bueno (80-89)",IF(B11&gt;=70,"Bueno (70-79)","Regular (&lt;70)"))))</f>
        <v>Muy bueno (80-89)</v>
      </c>
      <c r="D11" s="34" t="n">
        <v>1986</v>
      </c>
      <c r="E11" s="11" t="s">
        <v>440</v>
      </c>
      <c r="F11" s="11" t="s">
        <v>13</v>
      </c>
      <c r="G11" s="11" t="s">
        <v>382</v>
      </c>
      <c r="H11" s="11"/>
      <c r="I11" s="12" t="str">
        <f aca="false">HYPERLINK("https://www.gamerankings.com/nes/563433-the-legend-of-zelda/index.html","GameRankings NES")</f>
        <v>GameRankings NES</v>
      </c>
      <c r="J11" s="1"/>
      <c r="K11" s="1"/>
      <c r="L11" s="1"/>
      <c r="M11" s="1"/>
    </row>
    <row r="12" customFormat="false" ht="15" hidden="false" customHeight="false" outlineLevel="0" collapsed="false">
      <c r="A12" s="3" t="s">
        <v>441</v>
      </c>
      <c r="B12" s="4" t="n">
        <v>83</v>
      </c>
      <c r="C12" s="5" t="str">
        <f aca="false">IF(B12="","Sin puntaje",IF(B12&gt;=90,"Obra maestra (90+)",IF(B12&gt;=80,"Muy bueno (80-89)",IF(B12&gt;=70,"Bueno (70-79)","Regular (&lt;70)"))))</f>
        <v>Muy bueno (80-89)</v>
      </c>
      <c r="D12" s="33" t="n">
        <v>1986</v>
      </c>
      <c r="E12" s="6" t="s">
        <v>433</v>
      </c>
      <c r="F12" s="6" t="s">
        <v>13</v>
      </c>
      <c r="G12" s="6" t="s">
        <v>382</v>
      </c>
      <c r="H12" s="6"/>
      <c r="I12" s="7" t="str">
        <f aca="false">HYPERLINK("https://www.mobygames.com/game/2062/castlevania/reviews/nes/","MobyGames NES")</f>
        <v>MobyGames NES</v>
      </c>
      <c r="J12" s="1"/>
      <c r="K12" s="1"/>
      <c r="L12" s="1"/>
      <c r="M12" s="1"/>
    </row>
    <row r="13" customFormat="false" ht="15" hidden="false" customHeight="false" outlineLevel="0" collapsed="false">
      <c r="A13" s="8" t="s">
        <v>442</v>
      </c>
      <c r="B13" s="9" t="n">
        <v>83</v>
      </c>
      <c r="C13" s="10" t="str">
        <f aca="false">IF(B13="","Sin puntaje",IF(B13&gt;=90,"Obra maestra (90+)",IF(B13&gt;=80,"Muy bueno (80-89)",IF(B13&gt;=70,"Bueno (70-79)","Regular (&lt;70)"))))</f>
        <v>Muy bueno (80-89)</v>
      </c>
      <c r="D13" s="34" t="n">
        <v>1989</v>
      </c>
      <c r="E13" s="11" t="s">
        <v>429</v>
      </c>
      <c r="F13" s="11" t="s">
        <v>13</v>
      </c>
      <c r="G13" s="11" t="s">
        <v>382</v>
      </c>
      <c r="H13" s="11"/>
      <c r="I13" s="12" t="str">
        <f aca="false">HYPERLINK("https://www.mobygames.com/game/8606/disneys-ducktales/reviews/nes/","MobyGames NES")</f>
        <v>MobyGames NES</v>
      </c>
      <c r="J13" s="1"/>
      <c r="K13" s="1"/>
      <c r="L13" s="1"/>
      <c r="M13" s="1"/>
    </row>
    <row r="14" customFormat="false" ht="15" hidden="false" customHeight="false" outlineLevel="0" collapsed="false">
      <c r="A14" s="3" t="s">
        <v>443</v>
      </c>
      <c r="B14" s="4" t="n">
        <v>79</v>
      </c>
      <c r="C14" s="5" t="str">
        <f aca="false">IF(B14="","Sin puntaje",IF(B14&gt;=90,"Obra maestra (90+)",IF(B14&gt;=80,"Muy bueno (80-89)",IF(B14&gt;=70,"Bueno (70-79)","Regular (&lt;70)"))))</f>
        <v>Bueno (70-79)</v>
      </c>
      <c r="D14" s="33" t="n">
        <v>1988</v>
      </c>
      <c r="E14" s="6" t="s">
        <v>433</v>
      </c>
      <c r="F14" s="6" t="s">
        <v>13</v>
      </c>
      <c r="G14" s="6" t="s">
        <v>382</v>
      </c>
      <c r="H14" s="6"/>
      <c r="I14" s="7" t="str">
        <f aca="false">HYPERLINK("https://www.mobygames.com/game/7356/ninja-gaiden/","MobyGames NES")</f>
        <v>MobyGames NES</v>
      </c>
      <c r="J14" s="1"/>
      <c r="K14" s="1"/>
      <c r="L14" s="1"/>
      <c r="M14" s="1"/>
    </row>
    <row r="15" customFormat="false" ht="23.85" hidden="false" customHeight="false" outlineLevel="0" collapsed="false">
      <c r="A15" s="8" t="s">
        <v>444</v>
      </c>
      <c r="B15" s="9" t="n">
        <v>78</v>
      </c>
      <c r="C15" s="10" t="str">
        <f aca="false">IF(B15="","Sin puntaje",IF(B15&gt;=90,"Obra maestra (90+)",IF(B15&gt;=80,"Muy bueno (80-89)",IF(B15&gt;=70,"Bueno (70-79)","Regular (&lt;70)"))))</f>
        <v>Bueno (70-79)</v>
      </c>
      <c r="D15" s="34" t="n">
        <v>1987</v>
      </c>
      <c r="E15" s="11" t="s">
        <v>445</v>
      </c>
      <c r="F15" s="11" t="s">
        <v>13</v>
      </c>
      <c r="G15" s="11" t="s">
        <v>382</v>
      </c>
      <c r="H15" s="11"/>
      <c r="I15" s="12" t="str">
        <f aca="false">HYPERLINK("https://mynintendonews.com/2017/03/11/heres-every-the-legend-of-zelda-game-ranked-by-metacritic-score/","GameRankings NES (vía MyNintendoNews) · dudoso")</f>
        <v>GameRankings NES (vía MyNintendoNews) · dudoso</v>
      </c>
      <c r="J15" s="1"/>
      <c r="K15" s="1"/>
      <c r="L15" s="1"/>
      <c r="M15" s="1"/>
    </row>
    <row r="16" customFormat="false" ht="15" hidden="false" customHeight="false" outlineLevel="0" collapsed="false">
      <c r="A16" s="3" t="s">
        <v>446</v>
      </c>
      <c r="B16" s="4" t="n">
        <v>68</v>
      </c>
      <c r="C16" s="5" t="str">
        <f aca="false">IF(B16="","Sin puntaje",IF(B16&gt;=90,"Obra maestra (90+)",IF(B16&gt;=80,"Muy bueno (80-89)",IF(B16&gt;=70,"Bueno (70-79)","Regular (&lt;70)"))))</f>
        <v>Regular (&lt;70)</v>
      </c>
      <c r="D16" s="33" t="n">
        <v>1986</v>
      </c>
      <c r="E16" s="6" t="s">
        <v>447</v>
      </c>
      <c r="F16" s="6" t="s">
        <v>13</v>
      </c>
      <c r="G16" s="6" t="s">
        <v>382</v>
      </c>
      <c r="H16" s="6"/>
      <c r="I16" s="7" t="str">
        <f aca="false">HYPERLINK("https://www.mobygames.com/game/9223/dragon-warrior/reviews/","MobyGames NES")</f>
        <v>MobyGames NES</v>
      </c>
      <c r="J16" s="1"/>
      <c r="K16" s="1"/>
      <c r="L16" s="1"/>
      <c r="M16" s="1"/>
    </row>
    <row r="17" customFormat="false" ht="15" hidden="false" customHeight="false" outlineLevel="0" collapsed="false">
      <c r="A17" s="8" t="s">
        <v>448</v>
      </c>
      <c r="B17" s="9"/>
      <c r="C17" s="10" t="str">
        <f aca="false">IF(B17="","Sin puntaje",IF(B17&gt;=90,"Obra maestra (90+)",IF(B17&gt;=80,"Muy bueno (80-89)",IF(B17&gt;=70,"Bueno (70-79)","Regular (&lt;70)"))))</f>
        <v>Sin puntaje</v>
      </c>
      <c r="D17" s="34" t="n">
        <v>1986</v>
      </c>
      <c r="E17" s="11" t="s">
        <v>449</v>
      </c>
      <c r="F17" s="11" t="s">
        <v>13</v>
      </c>
      <c r="G17" s="11" t="s">
        <v>382</v>
      </c>
      <c r="H17" s="11"/>
      <c r="I17" s="14" t="s">
        <v>57</v>
      </c>
      <c r="J17" s="1"/>
      <c r="K17" s="1"/>
      <c r="L17" s="1"/>
      <c r="M17" s="1"/>
    </row>
    <row r="18" customFormat="false" ht="15" hidden="false" customHeight="false" outlineLevel="0" collapsed="false">
      <c r="A18" s="3" t="s">
        <v>450</v>
      </c>
      <c r="B18" s="4"/>
      <c r="C18" s="5" t="str">
        <f aca="false">IF(B18="","Sin puntaje",IF(B18&gt;=90,"Obra maestra (90+)",IF(B18&gt;=80,"Muy bueno (80-89)",IF(B18&gt;=70,"Bueno (70-79)","Regular (&lt;70)"))))</f>
        <v>Sin puntaje</v>
      </c>
      <c r="D18" s="33" t="n">
        <v>1987</v>
      </c>
      <c r="E18" s="6" t="s">
        <v>447</v>
      </c>
      <c r="F18" s="6" t="s">
        <v>13</v>
      </c>
      <c r="G18" s="6" t="s">
        <v>382</v>
      </c>
      <c r="H18" s="6"/>
      <c r="I18" s="13" t="s">
        <v>57</v>
      </c>
      <c r="J18" s="1"/>
      <c r="K18" s="1"/>
      <c r="L18" s="1"/>
      <c r="M18" s="1"/>
    </row>
    <row r="19" customFormat="false" ht="15" hidden="false" customHeight="false" outlineLevel="0" collapsed="false">
      <c r="A19" s="8" t="s">
        <v>451</v>
      </c>
      <c r="B19" s="9"/>
      <c r="C19" s="10" t="str">
        <f aca="false">IF(B19="","Sin puntaje",IF(B19&gt;=90,"Obra maestra (90+)",IF(B19&gt;=80,"Muy bueno (80-89)",IF(B19&gt;=70,"Bueno (70-79)","Regular (&lt;70)"))))</f>
        <v>Sin puntaje</v>
      </c>
      <c r="D19" s="34" t="n">
        <v>1988</v>
      </c>
      <c r="E19" s="11" t="s">
        <v>433</v>
      </c>
      <c r="F19" s="11" t="s">
        <v>13</v>
      </c>
      <c r="G19" s="11" t="s">
        <v>382</v>
      </c>
      <c r="H19" s="11"/>
      <c r="I19" s="14" t="s">
        <v>57</v>
      </c>
      <c r="J19" s="1"/>
      <c r="K19" s="1"/>
      <c r="L19" s="1"/>
      <c r="M19" s="1"/>
    </row>
    <row r="20" customFormat="false" ht="15" hidden="false" customHeight="false" outlineLevel="0" collapsed="false">
      <c r="A20" s="3" t="s">
        <v>452</v>
      </c>
      <c r="B20" s="4"/>
      <c r="C20" s="5" t="str">
        <f aca="false">IF(B20="","Sin puntaje",IF(B20&gt;=90,"Obra maestra (90+)",IF(B20&gt;=80,"Muy bueno (80-89)",IF(B20&gt;=70,"Bueno (70-79)","Regular (&lt;70)"))))</f>
        <v>Sin puntaje</v>
      </c>
      <c r="D20" s="33" t="n">
        <v>1989</v>
      </c>
      <c r="E20" s="6" t="s">
        <v>453</v>
      </c>
      <c r="F20" s="6" t="s">
        <v>13</v>
      </c>
      <c r="G20" s="6" t="s">
        <v>382</v>
      </c>
      <c r="H20" s="6"/>
      <c r="I20" s="13" t="s">
        <v>57</v>
      </c>
      <c r="J20" s="1"/>
      <c r="K20" s="1"/>
      <c r="L20" s="1"/>
      <c r="M20" s="1"/>
    </row>
    <row r="21" customFormat="false" ht="15" hidden="false" customHeight="false" outlineLevel="0" collapsed="false">
      <c r="A21" s="1"/>
      <c r="B21" s="1"/>
      <c r="C21" s="1"/>
      <c r="D21" s="1"/>
      <c r="E21" s="1"/>
      <c r="F21" s="1"/>
      <c r="G21" s="1"/>
      <c r="H21" s="1"/>
      <c r="I21" s="1"/>
      <c r="J21" s="1"/>
      <c r="K21" s="1"/>
      <c r="L21" s="1"/>
      <c r="M21" s="1"/>
    </row>
    <row r="22" customFormat="false" ht="15" hidden="false" customHeight="false" outlineLevel="0" collapsed="false">
      <c r="A22" s="1"/>
      <c r="B22" s="1"/>
      <c r="C22" s="1"/>
      <c r="D22" s="1"/>
      <c r="E22" s="1"/>
      <c r="F22" s="1"/>
      <c r="G22" s="1"/>
      <c r="H22" s="1"/>
      <c r="I22" s="1"/>
      <c r="J22" s="1"/>
      <c r="K22" s="1"/>
      <c r="L22" s="1"/>
      <c r="M22" s="1"/>
    </row>
    <row r="23" customFormat="false" ht="15" hidden="false" customHeight="false" outlineLevel="0" collapsed="false">
      <c r="A23" s="1"/>
      <c r="B23" s="1"/>
      <c r="C23" s="1"/>
      <c r="D23" s="1"/>
      <c r="E23" s="1"/>
      <c r="F23" s="1"/>
      <c r="G23" s="1"/>
      <c r="H23" s="1"/>
      <c r="I23" s="1"/>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sheetData>
  <autoFilter ref="A3:I20"/>
  <conditionalFormatting sqref="B4:B20">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0">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0">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454</v>
      </c>
      <c r="B2" s="1"/>
      <c r="C2" s="1"/>
      <c r="D2" s="1"/>
      <c r="E2" s="1"/>
      <c r="F2" s="1"/>
      <c r="G2" s="1"/>
      <c r="H2" s="1"/>
      <c r="I2" s="1"/>
      <c r="J2" s="1"/>
      <c r="K2" s="1"/>
      <c r="L2" s="1"/>
      <c r="M2" s="1"/>
    </row>
    <row r="3" customFormat="false" ht="21.75" hidden="false" customHeight="true" outlineLevel="0" collapsed="false">
      <c r="A3" s="2" t="s">
        <v>0</v>
      </c>
      <c r="B3" s="2" t="s">
        <v>1</v>
      </c>
      <c r="C3" s="2" t="s">
        <v>2</v>
      </c>
      <c r="D3" s="2" t="s">
        <v>426</v>
      </c>
      <c r="E3" s="2" t="s">
        <v>427</v>
      </c>
      <c r="F3" s="2" t="s">
        <v>4</v>
      </c>
      <c r="G3" s="2" t="s">
        <v>381</v>
      </c>
      <c r="H3" s="2" t="s">
        <v>8</v>
      </c>
      <c r="I3" s="2" t="s">
        <v>9</v>
      </c>
      <c r="J3" s="1"/>
      <c r="K3" s="1"/>
      <c r="L3" s="1"/>
      <c r="M3" s="1"/>
    </row>
    <row r="4" customFormat="false" ht="15" hidden="false" customHeight="false" outlineLevel="0" collapsed="false">
      <c r="A4" s="3" t="s">
        <v>455</v>
      </c>
      <c r="B4" s="4" t="n">
        <v>97</v>
      </c>
      <c r="C4" s="5" t="str">
        <f aca="false">IF(B4="","Sin puntaje",IF(B4&gt;=90,"Obra maestra (90+)",IF(B4&gt;=80,"Muy bueno (80-89)",IF(B4&gt;=70,"Bueno (70-79)","Regular (&lt;70)"))))</f>
        <v>Obra maestra (90+)</v>
      </c>
      <c r="D4" s="33" t="n">
        <v>1994</v>
      </c>
      <c r="E4" s="6" t="s">
        <v>449</v>
      </c>
      <c r="F4" s="6" t="s">
        <v>13</v>
      </c>
      <c r="G4" s="6" t="s">
        <v>383</v>
      </c>
      <c r="H4" s="6"/>
      <c r="I4" s="7" t="str">
        <f aca="false">HYPERLINK("https://www.gamerankings.com/snes/index.html","GameRankings SNES")</f>
        <v>GameRankings SNES</v>
      </c>
      <c r="J4" s="1"/>
      <c r="K4" s="1"/>
      <c r="L4" s="1"/>
      <c r="M4" s="1"/>
    </row>
    <row r="5" customFormat="false" ht="15" hidden="false" customHeight="false" outlineLevel="0" collapsed="false">
      <c r="A5" s="8" t="s">
        <v>456</v>
      </c>
      <c r="B5" s="9" t="n">
        <v>96</v>
      </c>
      <c r="C5" s="10" t="str">
        <f aca="false">IF(B5="","Sin puntaje",IF(B5&gt;=90,"Obra maestra (90+)",IF(B5&gt;=80,"Muy bueno (80-89)",IF(B5&gt;=70,"Bueno (70-79)","Regular (&lt;70)"))))</f>
        <v>Obra maestra (90+)</v>
      </c>
      <c r="D5" s="34" t="n">
        <v>1995</v>
      </c>
      <c r="E5" s="11" t="s">
        <v>447</v>
      </c>
      <c r="F5" s="11" t="s">
        <v>13</v>
      </c>
      <c r="G5" s="11" t="s">
        <v>383</v>
      </c>
      <c r="H5" s="11"/>
      <c r="I5" s="12" t="str">
        <f aca="false">HYPERLINK("https://www.gamerankings.com/snes/563538-chrono-trigger/index.html","GameRankings SNES")</f>
        <v>GameRankings SNES</v>
      </c>
      <c r="J5" s="1"/>
      <c r="K5" s="1"/>
      <c r="L5" s="1"/>
      <c r="M5" s="1"/>
    </row>
    <row r="6" customFormat="false" ht="15" hidden="false" customHeight="false" outlineLevel="0" collapsed="false">
      <c r="A6" s="3" t="s">
        <v>457</v>
      </c>
      <c r="B6" s="4" t="n">
        <v>96</v>
      </c>
      <c r="C6" s="5" t="str">
        <f aca="false">IF(B6="","Sin puntaje",IF(B6&gt;=90,"Obra maestra (90+)",IF(B6&gt;=80,"Muy bueno (80-89)",IF(B6&gt;=70,"Bueno (70-79)","Regular (&lt;70)"))))</f>
        <v>Obra maestra (90+)</v>
      </c>
      <c r="D6" s="33" t="n">
        <v>1995</v>
      </c>
      <c r="E6" s="6" t="s">
        <v>429</v>
      </c>
      <c r="F6" s="6" t="s">
        <v>13</v>
      </c>
      <c r="G6" s="6" t="s">
        <v>383</v>
      </c>
      <c r="H6" s="6" t="s">
        <v>458</v>
      </c>
      <c r="I6" s="7" t="str">
        <f aca="false">HYPERLINK("https://www.gamerankings.com/snes/index.html","GameRankings SNES")</f>
        <v>GameRankings SNES</v>
      </c>
      <c r="J6" s="1"/>
      <c r="K6" s="1"/>
      <c r="L6" s="1"/>
      <c r="M6" s="1"/>
    </row>
    <row r="7" customFormat="false" ht="15" hidden="false" customHeight="false" outlineLevel="0" collapsed="false">
      <c r="A7" s="8" t="s">
        <v>459</v>
      </c>
      <c r="B7" s="9" t="n">
        <v>94</v>
      </c>
      <c r="C7" s="10" t="str">
        <f aca="false">IF(B7="","Sin puntaje",IF(B7&gt;=90,"Obra maestra (90+)",IF(B7&gt;=80,"Muy bueno (80-89)",IF(B7&gt;=70,"Bueno (70-79)","Regular (&lt;70)"))))</f>
        <v>Obra maestra (90+)</v>
      </c>
      <c r="D7" s="34" t="n">
        <v>1990</v>
      </c>
      <c r="E7" s="11" t="s">
        <v>429</v>
      </c>
      <c r="F7" s="11" t="s">
        <v>13</v>
      </c>
      <c r="G7" s="11" t="s">
        <v>383</v>
      </c>
      <c r="H7" s="11"/>
      <c r="I7" s="12" t="str">
        <f aca="false">HYPERLINK("https://ru.ruwiki.ru/wiki/Super_Mario_(%D1%81%D0%B5%D1%80%D0%B8%D1%8F_%D0%B8%D0%B3%D1%80)","GameRankings SNES")</f>
        <v>GameRankings SNES</v>
      </c>
      <c r="J7" s="1"/>
      <c r="K7" s="1"/>
      <c r="L7" s="1"/>
      <c r="M7" s="1"/>
    </row>
    <row r="8" customFormat="false" ht="15" hidden="false" customHeight="false" outlineLevel="0" collapsed="false">
      <c r="A8" s="3" t="s">
        <v>460</v>
      </c>
      <c r="B8" s="4" t="n">
        <v>94</v>
      </c>
      <c r="C8" s="5" t="str">
        <f aca="false">IF(B8="","Sin puntaje",IF(B8&gt;=90,"Obra maestra (90+)",IF(B8&gt;=80,"Muy bueno (80-89)",IF(B8&gt;=70,"Bueno (70-79)","Regular (&lt;70)"))))</f>
        <v>Obra maestra (90+)</v>
      </c>
      <c r="D8" s="33" t="n">
        <v>1992</v>
      </c>
      <c r="E8" s="6" t="s">
        <v>461</v>
      </c>
      <c r="F8" s="6" t="s">
        <v>13</v>
      </c>
      <c r="G8" s="6" t="s">
        <v>383</v>
      </c>
      <c r="H8" s="6"/>
      <c r="I8" s="7" t="str">
        <f aca="false">HYPERLINK("https://www.gamerankings.com/snes/index.html","GameRankings SNES")</f>
        <v>GameRankings SNES</v>
      </c>
      <c r="J8" s="1"/>
      <c r="K8" s="1"/>
      <c r="L8" s="1"/>
      <c r="M8" s="1"/>
    </row>
    <row r="9" customFormat="false" ht="15" hidden="false" customHeight="false" outlineLevel="0" collapsed="false">
      <c r="A9" s="8" t="s">
        <v>462</v>
      </c>
      <c r="B9" s="9" t="n">
        <v>94</v>
      </c>
      <c r="C9" s="10" t="str">
        <f aca="false">IF(B9="","Sin puntaje",IF(B9&gt;=90,"Obra maestra (90+)",IF(B9&gt;=80,"Muy bueno (80-89)",IF(B9&gt;=70,"Bueno (70-79)","Regular (&lt;70)"))))</f>
        <v>Obra maestra (90+)</v>
      </c>
      <c r="D9" s="34" t="n">
        <v>1994</v>
      </c>
      <c r="E9" s="11" t="s">
        <v>447</v>
      </c>
      <c r="F9" s="11" t="s">
        <v>13</v>
      </c>
      <c r="G9" s="11" t="s">
        <v>383</v>
      </c>
      <c r="H9" s="11"/>
      <c r="I9" s="12" t="str">
        <f aca="false">HYPERLINK("https://www.gamerankings.com/snes/index.html","GameRankings SNES")</f>
        <v>GameRankings SNES</v>
      </c>
      <c r="J9" s="1"/>
      <c r="K9" s="1"/>
      <c r="L9" s="1"/>
      <c r="M9" s="1"/>
    </row>
    <row r="10" customFormat="false" ht="15" hidden="false" customHeight="false" outlineLevel="0" collapsed="false">
      <c r="A10" s="3" t="s">
        <v>463</v>
      </c>
      <c r="B10" s="4" t="n">
        <v>93</v>
      </c>
      <c r="C10" s="5" t="str">
        <f aca="false">IF(B10="","Sin puntaje",IF(B10&gt;=90,"Obra maestra (90+)",IF(B10&gt;=80,"Muy bueno (80-89)",IF(B10&gt;=70,"Bueno (70-79)","Regular (&lt;70)"))))</f>
        <v>Obra maestra (90+)</v>
      </c>
      <c r="D10" s="33" t="n">
        <v>1991</v>
      </c>
      <c r="E10" s="6" t="s">
        <v>440</v>
      </c>
      <c r="F10" s="6" t="s">
        <v>13</v>
      </c>
      <c r="G10" s="6" t="s">
        <v>383</v>
      </c>
      <c r="H10" s="6"/>
      <c r="I10" s="7" t="str">
        <f aca="false">HYPERLINK("https://www.gamerankings.com/snes/index.html","GameRankings SNES")</f>
        <v>GameRankings SNES</v>
      </c>
      <c r="J10" s="1"/>
      <c r="K10" s="1"/>
      <c r="L10" s="1"/>
      <c r="M10" s="1"/>
    </row>
    <row r="11" customFormat="false" ht="15" hidden="false" customHeight="false" outlineLevel="0" collapsed="false">
      <c r="A11" s="8" t="s">
        <v>464</v>
      </c>
      <c r="B11" s="9" t="n">
        <v>92</v>
      </c>
      <c r="C11" s="10" t="str">
        <f aca="false">IF(B11="","Sin puntaje",IF(B11&gt;=90,"Obra maestra (90+)",IF(B11&gt;=80,"Muy bueno (80-89)",IF(B11&gt;=70,"Bueno (70-79)","Regular (&lt;70)"))))</f>
        <v>Obra maestra (90+)</v>
      </c>
      <c r="D11" s="34" t="n">
        <v>1993</v>
      </c>
      <c r="E11" s="11" t="s">
        <v>465</v>
      </c>
      <c r="F11" s="11" t="s">
        <v>13</v>
      </c>
      <c r="G11" s="11" t="s">
        <v>383</v>
      </c>
      <c r="H11" s="11"/>
      <c r="I11" s="12" t="str">
        <f aca="false">HYPERLINK("https://www.mobygames.com/game/7083/street-fighter-ii-turbo/reviews/snes/","MobyGames SNES · dudoso")</f>
        <v>MobyGames SNES · dudoso</v>
      </c>
      <c r="J11" s="1"/>
      <c r="K11" s="1"/>
      <c r="L11" s="1"/>
      <c r="M11" s="1"/>
    </row>
    <row r="12" customFormat="false" ht="15" hidden="false" customHeight="false" outlineLevel="0" collapsed="false">
      <c r="A12" s="3" t="s">
        <v>466</v>
      </c>
      <c r="B12" s="4" t="n">
        <v>90</v>
      </c>
      <c r="C12" s="5" t="str">
        <f aca="false">IF(B12="","Sin puntaje",IF(B12&gt;=90,"Obra maestra (90+)",IF(B12&gt;=80,"Muy bueno (80-89)",IF(B12&gt;=70,"Bueno (70-79)","Regular (&lt;70)"))))</f>
        <v>Obra maestra (90+)</v>
      </c>
      <c r="D12" s="33" t="n">
        <v>1995</v>
      </c>
      <c r="E12" s="6" t="s">
        <v>429</v>
      </c>
      <c r="F12" s="6" t="s">
        <v>13</v>
      </c>
      <c r="G12" s="6" t="s">
        <v>383</v>
      </c>
      <c r="H12" s="6"/>
      <c r="I12" s="7" t="str">
        <f aca="false">HYPERLINK("https://www.gamerankings.com/snes/index.html","GameRankings SNES")</f>
        <v>GameRankings SNES</v>
      </c>
      <c r="J12" s="1"/>
      <c r="K12" s="1"/>
      <c r="L12" s="1"/>
      <c r="M12" s="1"/>
    </row>
    <row r="13" customFormat="false" ht="15" hidden="false" customHeight="false" outlineLevel="0" collapsed="false">
      <c r="A13" s="8" t="s">
        <v>467</v>
      </c>
      <c r="B13" s="9" t="n">
        <v>89</v>
      </c>
      <c r="C13" s="10" t="str">
        <f aca="false">IF(B13="","Sin puntaje",IF(B13&gt;=90,"Obra maestra (90+)",IF(B13&gt;=80,"Muy bueno (80-89)",IF(B13&gt;=70,"Bueno (70-79)","Regular (&lt;70)"))))</f>
        <v>Muy bueno (80-89)</v>
      </c>
      <c r="D13" s="34" t="n">
        <v>1993</v>
      </c>
      <c r="E13" s="11" t="s">
        <v>433</v>
      </c>
      <c r="F13" s="11" t="s">
        <v>13</v>
      </c>
      <c r="G13" s="11" t="s">
        <v>383</v>
      </c>
      <c r="H13" s="11"/>
      <c r="I13" s="12" t="str">
        <f aca="false">HYPERLINK("https://www.gamerankings.com/snes/index.html","GameRankings SNES")</f>
        <v>GameRankings SNES</v>
      </c>
      <c r="J13" s="1"/>
      <c r="K13" s="1"/>
      <c r="L13" s="1"/>
      <c r="M13" s="1"/>
    </row>
    <row r="14" customFormat="false" ht="15" hidden="false" customHeight="false" outlineLevel="0" collapsed="false">
      <c r="A14" s="3" t="s">
        <v>468</v>
      </c>
      <c r="B14" s="4" t="n">
        <v>89</v>
      </c>
      <c r="C14" s="5" t="str">
        <f aca="false">IF(B14="","Sin puntaje",IF(B14&gt;=90,"Obra maestra (90+)",IF(B14&gt;=80,"Muy bueno (80-89)",IF(B14&gt;=70,"Bueno (70-79)","Regular (&lt;70)"))))</f>
        <v>Muy bueno (80-89)</v>
      </c>
      <c r="D14" s="33" t="n">
        <v>1996</v>
      </c>
      <c r="E14" s="6" t="s">
        <v>447</v>
      </c>
      <c r="F14" s="6" t="s">
        <v>13</v>
      </c>
      <c r="G14" s="6" t="s">
        <v>383</v>
      </c>
      <c r="H14" s="6"/>
      <c r="I14" s="7" t="str">
        <f aca="false">HYPERLINK("https://www.gamerankings.com/snes/index.html","GameRankings SNES")</f>
        <v>GameRankings SNES</v>
      </c>
      <c r="J14" s="1"/>
      <c r="K14" s="1"/>
      <c r="L14" s="1"/>
      <c r="M14" s="1"/>
    </row>
    <row r="15" customFormat="false" ht="15" hidden="false" customHeight="false" outlineLevel="0" collapsed="false">
      <c r="A15" s="8" t="s">
        <v>469</v>
      </c>
      <c r="B15" s="9" t="n">
        <v>88</v>
      </c>
      <c r="C15" s="10" t="str">
        <f aca="false">IF(B15="","Sin puntaje",IF(B15&gt;=90,"Obra maestra (90+)",IF(B15&gt;=80,"Muy bueno (80-89)",IF(B15&gt;=70,"Bueno (70-79)","Regular (&lt;70)"))))</f>
        <v>Muy bueno (80-89)</v>
      </c>
      <c r="D15" s="34" t="n">
        <v>1994</v>
      </c>
      <c r="E15" s="11" t="s">
        <v>447</v>
      </c>
      <c r="F15" s="11" t="s">
        <v>13</v>
      </c>
      <c r="G15" s="11" t="s">
        <v>383</v>
      </c>
      <c r="H15" s="11"/>
      <c r="I15" s="12" t="str">
        <f aca="false">HYPERLINK("https://www.gamerankings.com/snes/index.html","GameRankings SNES")</f>
        <v>GameRankings SNES</v>
      </c>
      <c r="J15" s="1"/>
      <c r="K15" s="1"/>
      <c r="L15" s="1"/>
      <c r="M15" s="1"/>
    </row>
    <row r="16" customFormat="false" ht="15" hidden="false" customHeight="false" outlineLevel="0" collapsed="false">
      <c r="A16" s="3" t="s">
        <v>470</v>
      </c>
      <c r="B16" s="4" t="n">
        <v>87</v>
      </c>
      <c r="C16" s="5" t="str">
        <f aca="false">IF(B16="","Sin puntaje",IF(B16&gt;=90,"Obra maestra (90+)",IF(B16&gt;=80,"Muy bueno (80-89)",IF(B16&gt;=70,"Bueno (70-79)","Regular (&lt;70)"))))</f>
        <v>Muy bueno (80-89)</v>
      </c>
      <c r="D16" s="33" t="n">
        <v>1993</v>
      </c>
      <c r="E16" s="6" t="s">
        <v>471</v>
      </c>
      <c r="F16" s="6" t="s">
        <v>13</v>
      </c>
      <c r="G16" s="6" t="s">
        <v>383</v>
      </c>
      <c r="H16" s="6"/>
      <c r="I16" s="7" t="str">
        <f aca="false">HYPERLINK("https://www.gamerankings.com/snes/index.html","GameRankings SNES")</f>
        <v>GameRankings SNES</v>
      </c>
      <c r="J16" s="1"/>
      <c r="K16" s="1"/>
      <c r="L16" s="1"/>
      <c r="M16" s="1"/>
    </row>
    <row r="17" customFormat="false" ht="15" hidden="false" customHeight="false" outlineLevel="0" collapsed="false">
      <c r="A17" s="8" t="s">
        <v>472</v>
      </c>
      <c r="B17" s="9" t="n">
        <v>87</v>
      </c>
      <c r="C17" s="10" t="str">
        <f aca="false">IF(B17="","Sin puntaje",IF(B17&gt;=90,"Obra maestra (90+)",IF(B17&gt;=80,"Muy bueno (80-89)",IF(B17&gt;=70,"Bueno (70-79)","Regular (&lt;70)"))))</f>
        <v>Muy bueno (80-89)</v>
      </c>
      <c r="D17" s="34" t="n">
        <v>1993</v>
      </c>
      <c r="E17" s="11" t="s">
        <v>473</v>
      </c>
      <c r="F17" s="11" t="s">
        <v>13</v>
      </c>
      <c r="G17" s="11" t="s">
        <v>383</v>
      </c>
      <c r="H17" s="11" t="s">
        <v>474</v>
      </c>
      <c r="I17" s="12" t="str">
        <f aca="false">HYPERLINK("https://www.mobygames.com/game/6629/star-fox/","MobyGames SNES")</f>
        <v>MobyGames SNES</v>
      </c>
      <c r="J17" s="1"/>
      <c r="K17" s="1"/>
      <c r="L17" s="1"/>
      <c r="M17" s="1"/>
    </row>
    <row r="18" customFormat="false" ht="15" hidden="false" customHeight="false" outlineLevel="0" collapsed="false">
      <c r="A18" s="3" t="s">
        <v>475</v>
      </c>
      <c r="B18" s="4" t="n">
        <v>86</v>
      </c>
      <c r="C18" s="5" t="str">
        <f aca="false">IF(B18="","Sin puntaje",IF(B18&gt;=90,"Obra maestra (90+)",IF(B18&gt;=80,"Muy bueno (80-89)",IF(B18&gt;=70,"Bueno (70-79)","Regular (&lt;70)"))))</f>
        <v>Muy bueno (80-89)</v>
      </c>
      <c r="D18" s="33" t="n">
        <v>1992</v>
      </c>
      <c r="E18" s="6" t="s">
        <v>431</v>
      </c>
      <c r="F18" s="6" t="s">
        <v>13</v>
      </c>
      <c r="G18" s="6" t="s">
        <v>383</v>
      </c>
      <c r="H18" s="6"/>
      <c r="I18" s="7" t="str">
        <f aca="false">HYPERLINK("https://www.mobygames.com/game/5619/contra-iii-the-alien-wars/","MobyGames SNES")</f>
        <v>MobyGames SNES</v>
      </c>
      <c r="J18" s="1"/>
      <c r="K18" s="1"/>
      <c r="L18" s="1"/>
      <c r="M18" s="1"/>
    </row>
    <row r="19" customFormat="false" ht="15" hidden="false" customHeight="false" outlineLevel="0" collapsed="false">
      <c r="A19" s="8" t="s">
        <v>476</v>
      </c>
      <c r="B19" s="9" t="n">
        <v>83</v>
      </c>
      <c r="C19" s="10" t="str">
        <f aca="false">IF(B19="","Sin puntaje",IF(B19&gt;=90,"Obra maestra (90+)",IF(B19&gt;=80,"Muy bueno (80-89)",IF(B19&gt;=70,"Bueno (70-79)","Regular (&lt;70)"))))</f>
        <v>Muy bueno (80-89)</v>
      </c>
      <c r="D19" s="34" t="n">
        <v>1991</v>
      </c>
      <c r="E19" s="11" t="s">
        <v>447</v>
      </c>
      <c r="F19" s="11" t="s">
        <v>13</v>
      </c>
      <c r="G19" s="11" t="s">
        <v>383</v>
      </c>
      <c r="H19" s="11"/>
      <c r="I19" s="12" t="str">
        <f aca="false">HYPERLINK("https://www.mobygames.com/game/4572/final-fantasy-ii/","MobyGames SNES")</f>
        <v>MobyGames SNES</v>
      </c>
      <c r="J19" s="1"/>
      <c r="K19" s="1"/>
      <c r="L19" s="1"/>
      <c r="M19" s="1"/>
    </row>
    <row r="20" customFormat="false" ht="15" hidden="false" customHeight="false" outlineLevel="0" collapsed="false">
      <c r="A20" s="3" t="s">
        <v>477</v>
      </c>
      <c r="B20" s="4" t="n">
        <v>83</v>
      </c>
      <c r="C20" s="5" t="str">
        <f aca="false">IF(B20="","Sin puntaje",IF(B20&gt;=90,"Obra maestra (90+)",IF(B20&gt;=80,"Muy bueno (80-89)",IF(B20&gt;=70,"Bueno (70-79)","Regular (&lt;70)"))))</f>
        <v>Muy bueno (80-89)</v>
      </c>
      <c r="D20" s="33" t="n">
        <v>1994</v>
      </c>
      <c r="E20" s="6" t="s">
        <v>435</v>
      </c>
      <c r="F20" s="6" t="s">
        <v>13</v>
      </c>
      <c r="G20" s="6" t="s">
        <v>383</v>
      </c>
      <c r="H20" s="6"/>
      <c r="I20" s="7" t="str">
        <f aca="false">HYPERLINK("https://mobygames.com/game/snes/super-punch-out/mobyrank","MobyGames SNES")</f>
        <v>MobyGames SNES</v>
      </c>
      <c r="J20" s="1"/>
      <c r="K20" s="1"/>
      <c r="L20" s="1"/>
      <c r="M20" s="1"/>
    </row>
    <row r="21" customFormat="false" ht="15" hidden="false" customHeight="false" outlineLevel="0" collapsed="false">
      <c r="A21" s="8" t="s">
        <v>478</v>
      </c>
      <c r="B21" s="9" t="n">
        <v>82</v>
      </c>
      <c r="C21" s="10" t="str">
        <f aca="false">IF(B21="","Sin puntaje",IF(B21&gt;=90,"Obra maestra (90+)",IF(B21&gt;=80,"Muy bueno (80-89)",IF(B21&gt;=70,"Bueno (70-79)","Regular (&lt;70)"))))</f>
        <v>Muy bueno (80-89)</v>
      </c>
      <c r="D21" s="34" t="n">
        <v>1991</v>
      </c>
      <c r="E21" s="11" t="s">
        <v>433</v>
      </c>
      <c r="F21" s="11" t="s">
        <v>13</v>
      </c>
      <c r="G21" s="11" t="s">
        <v>383</v>
      </c>
      <c r="H21" s="11"/>
      <c r="I21" s="12" t="str">
        <f aca="false">HYPERLINK("https://www.gamerankings.com/snes/588726-super-castlevania-iv/index.html","GameRankings SNES")</f>
        <v>GameRankings SNES</v>
      </c>
      <c r="J21" s="1"/>
      <c r="K21" s="1"/>
      <c r="L21" s="1"/>
      <c r="M21" s="1"/>
    </row>
    <row r="22" customFormat="false" ht="15" hidden="false" customHeight="false" outlineLevel="0" collapsed="false">
      <c r="A22" s="3" t="s">
        <v>479</v>
      </c>
      <c r="B22" s="4" t="n">
        <v>82</v>
      </c>
      <c r="C22" s="5" t="str">
        <f aca="false">IF(B22="","Sin puntaje",IF(B22&gt;=90,"Obra maestra (90+)",IF(B22&gt;=80,"Muy bueno (80-89)",IF(B22&gt;=70,"Bueno (70-79)","Regular (&lt;70)"))))</f>
        <v>Muy bueno (80-89)</v>
      </c>
      <c r="D22" s="33" t="n">
        <v>1996</v>
      </c>
      <c r="E22" s="6" t="s">
        <v>429</v>
      </c>
      <c r="F22" s="6" t="s">
        <v>13</v>
      </c>
      <c r="G22" s="6" t="s">
        <v>383</v>
      </c>
      <c r="H22" s="6"/>
      <c r="I22" s="7" t="str">
        <f aca="false">HYPERLINK("https://www.mobygames.com/game/6776/kirby-super-star/","MobyGames SNES")</f>
        <v>MobyGames SNES</v>
      </c>
      <c r="J22" s="1"/>
      <c r="K22" s="1"/>
      <c r="L22" s="1"/>
      <c r="M22" s="1"/>
    </row>
    <row r="23" customFormat="false" ht="15" hidden="false" customHeight="false" outlineLevel="0" collapsed="false">
      <c r="A23" s="8" t="s">
        <v>480</v>
      </c>
      <c r="B23" s="9" t="n">
        <v>80</v>
      </c>
      <c r="C23" s="10" t="str">
        <f aca="false">IF(B23="","Sin puntaje",IF(B23&gt;=90,"Obra maestra (90+)",IF(B23&gt;=80,"Muy bueno (80-89)",IF(B23&gt;=70,"Bueno (70-79)","Regular (&lt;70)"))))</f>
        <v>Muy bueno (80-89)</v>
      </c>
      <c r="D23" s="34" t="n">
        <v>1990</v>
      </c>
      <c r="E23" s="11" t="s">
        <v>461</v>
      </c>
      <c r="F23" s="11" t="s">
        <v>13</v>
      </c>
      <c r="G23" s="11" t="s">
        <v>383</v>
      </c>
      <c r="H23" s="11"/>
      <c r="I23" s="12" t="str">
        <f aca="false">HYPERLINK("https://www.mobygames.com/game/6630/f-zero/reviews/snes/","MobyGames SNES")</f>
        <v>MobyGames SNES</v>
      </c>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sheetData>
  <autoFilter ref="A3:I23"/>
  <conditionalFormatting sqref="B4:B23">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3">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3">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481</v>
      </c>
      <c r="B2" s="1"/>
      <c r="C2" s="1"/>
      <c r="D2" s="1"/>
      <c r="E2" s="1"/>
      <c r="F2" s="1"/>
      <c r="G2" s="1"/>
      <c r="H2" s="1"/>
      <c r="I2" s="1"/>
      <c r="J2" s="1"/>
      <c r="K2" s="1"/>
      <c r="L2" s="1"/>
      <c r="M2" s="1"/>
    </row>
    <row r="3" customFormat="false" ht="21.75" hidden="false" customHeight="true" outlineLevel="0" collapsed="false">
      <c r="A3" s="2" t="s">
        <v>0</v>
      </c>
      <c r="B3" s="2" t="s">
        <v>1</v>
      </c>
      <c r="C3" s="2" t="s">
        <v>2</v>
      </c>
      <c r="D3" s="2" t="s">
        <v>426</v>
      </c>
      <c r="E3" s="2" t="s">
        <v>427</v>
      </c>
      <c r="F3" s="2" t="s">
        <v>4</v>
      </c>
      <c r="G3" s="2" t="s">
        <v>381</v>
      </c>
      <c r="H3" s="2" t="s">
        <v>8</v>
      </c>
      <c r="I3" s="2" t="s">
        <v>9</v>
      </c>
      <c r="J3" s="1"/>
      <c r="K3" s="1"/>
      <c r="L3" s="1"/>
      <c r="M3" s="1"/>
    </row>
    <row r="4" customFormat="false" ht="15" hidden="false" customHeight="false" outlineLevel="0" collapsed="false">
      <c r="A4" s="3" t="s">
        <v>482</v>
      </c>
      <c r="B4" s="4" t="n">
        <v>93</v>
      </c>
      <c r="C4" s="5" t="str">
        <f aca="false">IF(B4="","Sin puntaje",IF(B4&gt;=90,"Obra maestra (90+)",IF(B4&gt;=80,"Muy bueno (80-89)",IF(B4&gt;=70,"Bueno (70-79)","Regular (&lt;70)"))))</f>
        <v>Obra maestra (90+)</v>
      </c>
      <c r="D4" s="33" t="n">
        <v>1989</v>
      </c>
      <c r="E4" s="6" t="s">
        <v>453</v>
      </c>
      <c r="F4" s="6" t="s">
        <v>13</v>
      </c>
      <c r="G4" s="6" t="s">
        <v>384</v>
      </c>
      <c r="H4" s="6"/>
      <c r="I4" s="7" t="str">
        <f aca="false">HYPERLINK("https://www.mobygames.com/game/42121/tetris/reviews/gameboy/","MobyGames Game Boy")</f>
        <v>MobyGames Game Boy</v>
      </c>
      <c r="J4" s="1"/>
      <c r="K4" s="1"/>
      <c r="L4" s="1"/>
      <c r="M4" s="1"/>
    </row>
    <row r="5" customFormat="false" ht="15" hidden="false" customHeight="false" outlineLevel="0" collapsed="false">
      <c r="A5" s="8" t="s">
        <v>483</v>
      </c>
      <c r="B5" s="9" t="n">
        <v>92</v>
      </c>
      <c r="C5" s="10" t="str">
        <f aca="false">IF(B5="","Sin puntaje",IF(B5&gt;=90,"Obra maestra (90+)",IF(B5&gt;=80,"Muy bueno (80-89)",IF(B5&gt;=70,"Bueno (70-79)","Regular (&lt;70)"))))</f>
        <v>Obra maestra (90+)</v>
      </c>
      <c r="D5" s="34" t="n">
        <v>1999</v>
      </c>
      <c r="E5" s="11" t="s">
        <v>429</v>
      </c>
      <c r="F5" s="11" t="s">
        <v>13</v>
      </c>
      <c r="G5" s="11" t="s">
        <v>384</v>
      </c>
      <c r="H5" s="11"/>
      <c r="I5" s="12" t="str">
        <f aca="false">HYPERLINK("https://ru.ruwiki.ru/wiki/Super_Mario_(%D1%81%D0%B5%D1%80%D0%B8%D1%8F_%D0%B8%D0%B3%D1%80)","GameRankings GBC")</f>
        <v>GameRankings GBC</v>
      </c>
      <c r="J5" s="1"/>
      <c r="K5" s="1"/>
      <c r="L5" s="1"/>
      <c r="M5" s="1"/>
    </row>
    <row r="6" customFormat="false" ht="15" hidden="false" customHeight="false" outlineLevel="0" collapsed="false">
      <c r="A6" s="3" t="s">
        <v>484</v>
      </c>
      <c r="B6" s="4" t="n">
        <v>91</v>
      </c>
      <c r="C6" s="5" t="str">
        <f aca="false">IF(B6="","Sin puntaje",IF(B6&gt;=90,"Obra maestra (90+)",IF(B6&gt;=80,"Muy bueno (80-89)",IF(B6&gt;=70,"Bueno (70-79)","Regular (&lt;70)"))))</f>
        <v>Obra maestra (90+)</v>
      </c>
      <c r="D6" s="33" t="n">
        <v>1999</v>
      </c>
      <c r="E6" s="6" t="s">
        <v>447</v>
      </c>
      <c r="F6" s="6" t="s">
        <v>13</v>
      </c>
      <c r="G6" s="6" t="s">
        <v>384</v>
      </c>
      <c r="H6" s="6"/>
      <c r="I6" s="7" t="str">
        <f aca="false">HYPERLINK("https://www.gamerankings.com/gbc/446340-pokemon-silver-version/index.html","GameRankings GBC")</f>
        <v>GameRankings GBC</v>
      </c>
      <c r="J6" s="1"/>
      <c r="K6" s="1"/>
      <c r="L6" s="1"/>
      <c r="M6" s="1"/>
    </row>
    <row r="7" customFormat="false" ht="23.85" hidden="false" customHeight="false" outlineLevel="0" collapsed="false">
      <c r="A7" s="8" t="s">
        <v>485</v>
      </c>
      <c r="B7" s="9" t="n">
        <v>91</v>
      </c>
      <c r="C7" s="10" t="str">
        <f aca="false">IF(B7="","Sin puntaje",IF(B7&gt;=90,"Obra maestra (90+)",IF(B7&gt;=80,"Muy bueno (80-89)",IF(B7&gt;=70,"Bueno (70-79)","Regular (&lt;70)"))))</f>
        <v>Obra maestra (90+)</v>
      </c>
      <c r="D7" s="34" t="n">
        <v>2001</v>
      </c>
      <c r="E7" s="11" t="s">
        <v>440</v>
      </c>
      <c r="F7" s="11" t="s">
        <v>13</v>
      </c>
      <c r="G7" s="11" t="s">
        <v>384</v>
      </c>
      <c r="H7" s="11" t="s">
        <v>486</v>
      </c>
      <c r="I7" s="12" t="str">
        <f aca="false">HYPERLINK("https://www.gamerankings.com/gbc/198972-the-legend-of-zelda-oracle-of-seasons/index.html","GameRankings GBC")</f>
        <v>GameRankings GBC</v>
      </c>
      <c r="J7" s="1"/>
      <c r="K7" s="1"/>
      <c r="L7" s="1"/>
      <c r="M7" s="1"/>
    </row>
    <row r="8" customFormat="false" ht="15" hidden="false" customHeight="false" outlineLevel="0" collapsed="false">
      <c r="A8" s="3" t="s">
        <v>487</v>
      </c>
      <c r="B8" s="4" t="n">
        <v>90</v>
      </c>
      <c r="C8" s="5" t="str">
        <f aca="false">IF(B8="","Sin puntaje",IF(B8&gt;=90,"Obra maestra (90+)",IF(B8&gt;=80,"Muy bueno (80-89)",IF(B8&gt;=70,"Bueno (70-79)","Regular (&lt;70)"))))</f>
        <v>Obra maestra (90+)</v>
      </c>
      <c r="D8" s="33" t="n">
        <v>2000</v>
      </c>
      <c r="E8" s="6" t="s">
        <v>429</v>
      </c>
      <c r="F8" s="6" t="s">
        <v>13</v>
      </c>
      <c r="G8" s="6" t="s">
        <v>384</v>
      </c>
      <c r="H8" s="6"/>
      <c r="I8" s="7" t="str">
        <f aca="false">HYPERLINK("https://www.mobygames.com/game/5231/wario-land-3/","MobyGames GBC")</f>
        <v>MobyGames GBC</v>
      </c>
      <c r="J8" s="1"/>
      <c r="K8" s="1"/>
      <c r="L8" s="1"/>
      <c r="M8" s="1"/>
    </row>
    <row r="9" customFormat="false" ht="23.85" hidden="false" customHeight="false" outlineLevel="0" collapsed="false">
      <c r="A9" s="8" t="s">
        <v>488</v>
      </c>
      <c r="B9" s="9" t="n">
        <v>89</v>
      </c>
      <c r="C9" s="10" t="str">
        <f aca="false">IF(B9="","Sin puntaje",IF(B9&gt;=90,"Obra maestra (90+)",IF(B9&gt;=80,"Muy bueno (80-89)",IF(B9&gt;=70,"Bueno (70-79)","Regular (&lt;70)"))))</f>
        <v>Muy bueno (80-89)</v>
      </c>
      <c r="D9" s="34" t="n">
        <v>1996</v>
      </c>
      <c r="E9" s="11" t="s">
        <v>447</v>
      </c>
      <c r="F9" s="11" t="s">
        <v>13</v>
      </c>
      <c r="G9" s="11" t="s">
        <v>384</v>
      </c>
      <c r="H9" s="11"/>
      <c r="I9" s="12" t="str">
        <f aca="false">HYPERLINK("https://bulbapedia.bulbagarden.net/wiki/Pokemon_Red_and_Blue_Versions","GameRankings Game Boy · dudoso")</f>
        <v>GameRankings Game Boy · dudoso</v>
      </c>
      <c r="J9" s="1"/>
      <c r="K9" s="1"/>
      <c r="L9" s="1"/>
      <c r="M9" s="1"/>
    </row>
    <row r="10" customFormat="false" ht="15" hidden="false" customHeight="false" outlineLevel="0" collapsed="false">
      <c r="A10" s="3" t="s">
        <v>489</v>
      </c>
      <c r="B10" s="4" t="n">
        <v>83</v>
      </c>
      <c r="C10" s="5" t="str">
        <f aca="false">IF(B10="","Sin puntaje",IF(B10&gt;=90,"Obra maestra (90+)",IF(B10&gt;=80,"Muy bueno (80-89)",IF(B10&gt;=70,"Bueno (70-79)","Regular (&lt;70)"))))</f>
        <v>Muy bueno (80-89)</v>
      </c>
      <c r="D10" s="33" t="n">
        <v>1994</v>
      </c>
      <c r="E10" s="6" t="s">
        <v>429</v>
      </c>
      <c r="F10" s="6" t="s">
        <v>13</v>
      </c>
      <c r="G10" s="6" t="s">
        <v>384</v>
      </c>
      <c r="H10" s="6"/>
      <c r="I10" s="7" t="str">
        <f aca="false">HYPERLINK("https://www.gamerankings.com/gameboy/index.html","GameRankings Game Boy")</f>
        <v>GameRankings Game Boy</v>
      </c>
      <c r="J10" s="1"/>
      <c r="K10" s="1"/>
      <c r="L10" s="1"/>
      <c r="M10" s="1"/>
    </row>
    <row r="11" customFormat="false" ht="15" hidden="false" customHeight="false" outlineLevel="0" collapsed="false">
      <c r="A11" s="8" t="s">
        <v>490</v>
      </c>
      <c r="B11" s="9" t="n">
        <v>82</v>
      </c>
      <c r="C11" s="10" t="str">
        <f aca="false">IF(B11="","Sin puntaje",IF(B11&gt;=90,"Obra maestra (90+)",IF(B11&gt;=80,"Muy bueno (80-89)",IF(B11&gt;=70,"Bueno (70-79)","Regular (&lt;70)"))))</f>
        <v>Muy bueno (80-89)</v>
      </c>
      <c r="D11" s="34" t="n">
        <v>1999</v>
      </c>
      <c r="E11" s="11" t="s">
        <v>491</v>
      </c>
      <c r="F11" s="11" t="s">
        <v>13</v>
      </c>
      <c r="G11" s="11" t="s">
        <v>384</v>
      </c>
      <c r="H11" s="11"/>
      <c r="I11" s="12" t="str">
        <f aca="false">HYPERLINK("https://en.wikipedia.org/wiki/Pok%C3%A9mon_Pinball","GameRankings GBC")</f>
        <v>GameRankings GBC</v>
      </c>
      <c r="J11" s="1"/>
      <c r="K11" s="1"/>
      <c r="L11" s="1"/>
      <c r="M11" s="1"/>
    </row>
    <row r="12" customFormat="false" ht="15" hidden="false" customHeight="false" outlineLevel="0" collapsed="false">
      <c r="A12" s="3" t="s">
        <v>492</v>
      </c>
      <c r="B12" s="4" t="n">
        <v>80</v>
      </c>
      <c r="C12" s="5" t="str">
        <f aca="false">IF(B12="","Sin puntaje",IF(B12&gt;=90,"Obra maestra (90+)",IF(B12&gt;=80,"Muy bueno (80-89)",IF(B12&gt;=70,"Bueno (70-79)","Regular (&lt;70)"))))</f>
        <v>Muy bueno (80-89)</v>
      </c>
      <c r="D12" s="33" t="n">
        <v>1992</v>
      </c>
      <c r="E12" s="6" t="s">
        <v>429</v>
      </c>
      <c r="F12" s="6" t="s">
        <v>13</v>
      </c>
      <c r="G12" s="6" t="s">
        <v>384</v>
      </c>
      <c r="H12" s="6"/>
      <c r="I12" s="7" t="str">
        <f aca="false">HYPERLINK("https://www.gamerankings.com/gameboy/index.html","GameRankings Game Boy")</f>
        <v>GameRankings Game Boy</v>
      </c>
      <c r="J12" s="1"/>
      <c r="K12" s="1"/>
      <c r="L12" s="1"/>
      <c r="M12" s="1"/>
    </row>
    <row r="13" customFormat="false" ht="15" hidden="false" customHeight="false" outlineLevel="0" collapsed="false">
      <c r="A13" s="8" t="s">
        <v>493</v>
      </c>
      <c r="B13" s="9" t="n">
        <v>80</v>
      </c>
      <c r="C13" s="10" t="str">
        <f aca="false">IF(B13="","Sin puntaje",IF(B13&gt;=90,"Obra maestra (90+)",IF(B13&gt;=80,"Muy bueno (80-89)",IF(B13&gt;=70,"Bueno (70-79)","Regular (&lt;70)"))))</f>
        <v>Muy bueno (80-89)</v>
      </c>
      <c r="D13" s="34" t="n">
        <v>1998</v>
      </c>
      <c r="E13" s="11" t="s">
        <v>447</v>
      </c>
      <c r="F13" s="11" t="s">
        <v>13</v>
      </c>
      <c r="G13" s="11" t="s">
        <v>384</v>
      </c>
      <c r="H13" s="11"/>
      <c r="I13" s="12" t="str">
        <f aca="false">HYPERLINK("https://www.gamerankings.com/gbc/197155-dragon-warrior-monsters/index.html","GameRankings GBC")</f>
        <v>GameRankings GBC</v>
      </c>
      <c r="J13" s="1"/>
      <c r="K13" s="1"/>
      <c r="L13" s="1"/>
      <c r="M13" s="1"/>
    </row>
    <row r="14" customFormat="false" ht="15" hidden="false" customHeight="false" outlineLevel="0" collapsed="false">
      <c r="A14" s="3" t="s">
        <v>494</v>
      </c>
      <c r="B14" s="4" t="n">
        <v>80</v>
      </c>
      <c r="C14" s="5" t="str">
        <f aca="false">IF(B14="","Sin puntaje",IF(B14&gt;=90,"Obra maestra (90+)",IF(B14&gt;=80,"Muy bueno (80-89)",IF(B14&gt;=70,"Bueno (70-79)","Regular (&lt;70)"))))</f>
        <v>Muy bueno (80-89)</v>
      </c>
      <c r="D14" s="33" t="n">
        <v>2000</v>
      </c>
      <c r="E14" s="6" t="s">
        <v>447</v>
      </c>
      <c r="F14" s="6" t="s">
        <v>13</v>
      </c>
      <c r="G14" s="6" t="s">
        <v>384</v>
      </c>
      <c r="H14" s="6"/>
      <c r="I14" s="7" t="str">
        <f aca="false">HYPERLINK("https://bulbapedia.bulbagarden.net/wiki/Pok%C3%A9mon_Crystal_Version","GameRankings GBC")</f>
        <v>GameRankings GBC</v>
      </c>
      <c r="J14" s="1"/>
      <c r="K14" s="1"/>
      <c r="L14" s="1"/>
      <c r="M14" s="1"/>
    </row>
    <row r="15" customFormat="false" ht="22.35" hidden="false" customHeight="false" outlineLevel="0" collapsed="false">
      <c r="A15" s="8" t="s">
        <v>495</v>
      </c>
      <c r="B15" s="9" t="n">
        <v>79</v>
      </c>
      <c r="C15" s="10" t="str">
        <f aca="false">IF(B15="","Sin puntaje",IF(B15&gt;=90,"Obra maestra (90+)",IF(B15&gt;=80,"Muy bueno (80-89)",IF(B15&gt;=70,"Bueno (70-79)","Regular (&lt;70)"))))</f>
        <v>Bueno (70-79)</v>
      </c>
      <c r="D15" s="34" t="n">
        <v>1991</v>
      </c>
      <c r="E15" s="11" t="s">
        <v>449</v>
      </c>
      <c r="F15" s="11" t="s">
        <v>13</v>
      </c>
      <c r="G15" s="11" t="s">
        <v>384</v>
      </c>
      <c r="H15" s="11"/>
      <c r="I15" s="14" t="s">
        <v>496</v>
      </c>
      <c r="J15" s="1"/>
      <c r="K15" s="1"/>
      <c r="L15" s="1"/>
      <c r="M15" s="1"/>
    </row>
    <row r="16" customFormat="false" ht="15" hidden="false" customHeight="false" outlineLevel="0" collapsed="false">
      <c r="A16" s="3" t="s">
        <v>497</v>
      </c>
      <c r="B16" s="4" t="n">
        <v>79</v>
      </c>
      <c r="C16" s="5" t="str">
        <f aca="false">IF(B16="","Sin puntaje",IF(B16&gt;=90,"Obra maestra (90+)",IF(B16&gt;=80,"Muy bueno (80-89)",IF(B16&gt;=70,"Bueno (70-79)","Regular (&lt;70)"))))</f>
        <v>Bueno (70-79)</v>
      </c>
      <c r="D16" s="33" t="n">
        <v>1995</v>
      </c>
      <c r="E16" s="6" t="s">
        <v>429</v>
      </c>
      <c r="F16" s="6" t="s">
        <v>13</v>
      </c>
      <c r="G16" s="6" t="s">
        <v>384</v>
      </c>
      <c r="H16" s="6"/>
      <c r="I16" s="7" t="str">
        <f aca="false">HYPERLINK("https://www.mobygames.com/game/4370/kirbys-dream-land-2/reviews/","MobyGames Game Boy")</f>
        <v>MobyGames Game Boy</v>
      </c>
      <c r="J16" s="1"/>
      <c r="K16" s="1"/>
      <c r="L16" s="1"/>
      <c r="M16" s="1"/>
    </row>
    <row r="17" customFormat="false" ht="15" hidden="false" customHeight="false" outlineLevel="0" collapsed="false">
      <c r="A17" s="8" t="s">
        <v>498</v>
      </c>
      <c r="B17" s="9" t="n">
        <v>78</v>
      </c>
      <c r="C17" s="10" t="str">
        <f aca="false">IF(B17="","Sin puntaje",IF(B17&gt;=90,"Obra maestra (90+)",IF(B17&gt;=80,"Muy bueno (80-89)",IF(B17&gt;=70,"Bueno (70-79)","Regular (&lt;70)"))))</f>
        <v>Bueno (70-79)</v>
      </c>
      <c r="D17" s="34" t="n">
        <v>2002</v>
      </c>
      <c r="E17" s="11" t="s">
        <v>429</v>
      </c>
      <c r="F17" s="11" t="s">
        <v>13</v>
      </c>
      <c r="G17" s="11" t="s">
        <v>384</v>
      </c>
      <c r="H17" s="11"/>
      <c r="I17" s="12" t="str">
        <f aca="false">HYPERLINK("https://www.gamerankings.com/gbc/550864-shantae/index.html","GameRankings GBC")</f>
        <v>GameRankings GBC</v>
      </c>
      <c r="J17" s="1"/>
      <c r="K17" s="1"/>
      <c r="L17" s="1"/>
      <c r="M17" s="1"/>
    </row>
    <row r="18" customFormat="false" ht="15" hidden="false" customHeight="false" outlineLevel="0" collapsed="false">
      <c r="A18" s="3" t="s">
        <v>499</v>
      </c>
      <c r="B18" s="4"/>
      <c r="C18" s="5" t="str">
        <f aca="false">IF(B18="","Sin puntaje",IF(B18&gt;=90,"Obra maestra (90+)",IF(B18&gt;=80,"Muy bueno (80-89)",IF(B18&gt;=70,"Bueno (70-79)","Regular (&lt;70)"))))</f>
        <v>Sin puntaje</v>
      </c>
      <c r="D18" s="33" t="n">
        <v>1991</v>
      </c>
      <c r="E18" s="6" t="s">
        <v>471</v>
      </c>
      <c r="F18" s="6" t="s">
        <v>13</v>
      </c>
      <c r="G18" s="6" t="s">
        <v>384</v>
      </c>
      <c r="H18" s="6"/>
      <c r="I18" s="13" t="s">
        <v>57</v>
      </c>
      <c r="J18" s="1"/>
      <c r="K18" s="1"/>
      <c r="L18" s="1"/>
      <c r="M18" s="1"/>
    </row>
    <row r="19" customFormat="false" ht="15" hidden="false" customHeight="false" outlineLevel="0" collapsed="false">
      <c r="A19" s="8" t="s">
        <v>500</v>
      </c>
      <c r="B19" s="9"/>
      <c r="C19" s="10" t="str">
        <f aca="false">IF(B19="","Sin puntaje",IF(B19&gt;=90,"Obra maestra (90+)",IF(B19&gt;=80,"Muy bueno (80-89)",IF(B19&gt;=70,"Bueno (70-79)","Regular (&lt;70)"))))</f>
        <v>Sin puntaje</v>
      </c>
      <c r="D19" s="34" t="n">
        <v>1994</v>
      </c>
      <c r="E19" s="11" t="s">
        <v>501</v>
      </c>
      <c r="F19" s="11" t="s">
        <v>13</v>
      </c>
      <c r="G19" s="11" t="s">
        <v>384</v>
      </c>
      <c r="H19" s="11"/>
      <c r="I19" s="14" t="s">
        <v>57</v>
      </c>
      <c r="J19" s="1"/>
      <c r="K19" s="1"/>
      <c r="L19" s="1"/>
      <c r="M19" s="1"/>
    </row>
    <row r="20" customFormat="false" ht="15" hidden="false" customHeight="false" outlineLevel="0" collapsed="false">
      <c r="A20" s="3" t="s">
        <v>502</v>
      </c>
      <c r="B20" s="4"/>
      <c r="C20" s="5" t="str">
        <f aca="false">IF(B20="","Sin puntaje",IF(B20&gt;=90,"Obra maestra (90+)",IF(B20&gt;=80,"Muy bueno (80-89)",IF(B20&gt;=70,"Bueno (70-79)","Regular (&lt;70)"))))</f>
        <v>Sin puntaje</v>
      </c>
      <c r="D20" s="33" t="n">
        <v>1998</v>
      </c>
      <c r="E20" s="6" t="s">
        <v>440</v>
      </c>
      <c r="F20" s="6" t="s">
        <v>13</v>
      </c>
      <c r="G20" s="6" t="s">
        <v>384</v>
      </c>
      <c r="H20" s="6" t="s">
        <v>503</v>
      </c>
      <c r="I20" s="13" t="s">
        <v>57</v>
      </c>
      <c r="J20" s="1"/>
      <c r="K20" s="1"/>
      <c r="L20" s="1"/>
      <c r="M20" s="1"/>
    </row>
    <row r="21" customFormat="false" ht="15" hidden="false" customHeight="false" outlineLevel="0" collapsed="false">
      <c r="A21" s="1"/>
      <c r="B21" s="1"/>
      <c r="C21" s="1"/>
      <c r="D21" s="1"/>
      <c r="E21" s="1"/>
      <c r="F21" s="1"/>
      <c r="G21" s="1"/>
      <c r="H21" s="1"/>
      <c r="I21" s="1"/>
      <c r="J21" s="1"/>
      <c r="K21" s="1"/>
      <c r="L21" s="1"/>
      <c r="M21" s="1"/>
    </row>
    <row r="22" customFormat="false" ht="15" hidden="false" customHeight="false" outlineLevel="0" collapsed="false">
      <c r="A22" s="1"/>
      <c r="B22" s="1"/>
      <c r="C22" s="1"/>
      <c r="D22" s="1"/>
      <c r="E22" s="1"/>
      <c r="F22" s="1"/>
      <c r="G22" s="1"/>
      <c r="H22" s="1"/>
      <c r="I22" s="1"/>
      <c r="J22" s="1"/>
      <c r="K22" s="1"/>
      <c r="L22" s="1"/>
      <c r="M22" s="1"/>
    </row>
    <row r="23" customFormat="false" ht="15" hidden="false" customHeight="false" outlineLevel="0" collapsed="false">
      <c r="A23" s="1"/>
      <c r="B23" s="1"/>
      <c r="C23" s="1"/>
      <c r="D23" s="1"/>
      <c r="E23" s="1"/>
      <c r="F23" s="1"/>
      <c r="G23" s="1"/>
      <c r="H23" s="1"/>
      <c r="I23" s="1"/>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sheetData>
  <autoFilter ref="A3:I20"/>
  <conditionalFormatting sqref="B4:B20">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0">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0">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504</v>
      </c>
      <c r="B2" s="1"/>
      <c r="C2" s="1"/>
      <c r="D2" s="1"/>
      <c r="E2" s="1"/>
      <c r="F2" s="1"/>
      <c r="G2" s="1"/>
      <c r="H2" s="1"/>
      <c r="I2" s="1"/>
      <c r="J2" s="1"/>
      <c r="K2" s="1"/>
      <c r="L2" s="1"/>
      <c r="M2" s="1"/>
    </row>
    <row r="3" customFormat="false" ht="21.75" hidden="false" customHeight="true" outlineLevel="0" collapsed="false">
      <c r="A3" s="2" t="s">
        <v>0</v>
      </c>
      <c r="B3" s="2" t="s">
        <v>1</v>
      </c>
      <c r="C3" s="2" t="s">
        <v>2</v>
      </c>
      <c r="D3" s="2" t="s">
        <v>426</v>
      </c>
      <c r="E3" s="2" t="s">
        <v>427</v>
      </c>
      <c r="F3" s="2" t="s">
        <v>4</v>
      </c>
      <c r="G3" s="2" t="s">
        <v>381</v>
      </c>
      <c r="H3" s="2" t="s">
        <v>8</v>
      </c>
      <c r="I3" s="2" t="s">
        <v>9</v>
      </c>
      <c r="J3" s="1"/>
      <c r="K3" s="1"/>
      <c r="L3" s="1"/>
      <c r="M3" s="1"/>
    </row>
    <row r="4" customFormat="false" ht="15" hidden="false" customHeight="false" outlineLevel="0" collapsed="false">
      <c r="A4" s="3" t="s">
        <v>505</v>
      </c>
      <c r="B4" s="4" t="n">
        <v>95</v>
      </c>
      <c r="C4" s="5" t="str">
        <f aca="false">IF(B4="","Sin puntaje",IF(B4&gt;=90,"Obra maestra (90+)",IF(B4&gt;=80,"Muy bueno (80-89)",IF(B4&gt;=70,"Bueno (70-79)","Regular (&lt;70)"))))</f>
        <v>Obra maestra (90+)</v>
      </c>
      <c r="D4" s="33" t="n">
        <v>2001</v>
      </c>
      <c r="E4" s="6" t="s">
        <v>506</v>
      </c>
      <c r="F4" s="6" t="s">
        <v>13</v>
      </c>
      <c r="G4" s="6" t="s">
        <v>385</v>
      </c>
      <c r="H4" s="6"/>
      <c r="I4" s="7" t="str">
        <f aca="false">HYPERLINK("https://www.metacritic.com/browse/game/game-boy-advance/all/all-time/metascore/","Metacritic GBA")</f>
        <v>Metacritic GBA</v>
      </c>
      <c r="J4" s="1"/>
      <c r="K4" s="1"/>
      <c r="L4" s="1"/>
      <c r="M4" s="1"/>
    </row>
    <row r="5" customFormat="false" ht="23.85" hidden="false" customHeight="false" outlineLevel="0" collapsed="false">
      <c r="A5" s="8" t="s">
        <v>507</v>
      </c>
      <c r="B5" s="9" t="n">
        <v>95</v>
      </c>
      <c r="C5" s="10" t="str">
        <f aca="false">IF(B5="","Sin puntaje",IF(B5&gt;=90,"Obra maestra (90+)",IF(B5&gt;=80,"Muy bueno (80-89)",IF(B5&gt;=70,"Bueno (70-79)","Regular (&lt;70)"))))</f>
        <v>Obra maestra (90+)</v>
      </c>
      <c r="D5" s="34" t="n">
        <v>2002</v>
      </c>
      <c r="E5" s="11" t="s">
        <v>440</v>
      </c>
      <c r="F5" s="11" t="s">
        <v>13</v>
      </c>
      <c r="G5" s="11" t="s">
        <v>385</v>
      </c>
      <c r="H5" s="11"/>
      <c r="I5" s="12" t="str">
        <f aca="false">HYPERLINK("https://www.metacritic.com/browse/game/game-boy-advance/all/all-time/metascore/","Metacritic GBA")</f>
        <v>Metacritic GBA</v>
      </c>
      <c r="J5" s="1"/>
      <c r="K5" s="1"/>
      <c r="L5" s="1"/>
      <c r="M5" s="1"/>
    </row>
    <row r="6" customFormat="false" ht="15" hidden="false" customHeight="false" outlineLevel="0" collapsed="false">
      <c r="A6" s="3" t="s">
        <v>508</v>
      </c>
      <c r="B6" s="4" t="n">
        <v>94</v>
      </c>
      <c r="C6" s="5" t="str">
        <f aca="false">IF(B6="","Sin puntaje",IF(B6&gt;=90,"Obra maestra (90+)",IF(B6&gt;=80,"Muy bueno (80-89)",IF(B6&gt;=70,"Bueno (70-79)","Regular (&lt;70)"))))</f>
        <v>Obra maestra (90+)</v>
      </c>
      <c r="D6" s="33" t="n">
        <v>2003</v>
      </c>
      <c r="E6" s="6" t="s">
        <v>429</v>
      </c>
      <c r="F6" s="6" t="s">
        <v>13</v>
      </c>
      <c r="G6" s="6" t="s">
        <v>385</v>
      </c>
      <c r="H6" s="6"/>
      <c r="I6" s="7" t="str">
        <f aca="false">HYPERLINK("https://www.metacritic.com/browse/game/game-boy-advance/all/all-time/metascore/","Metacritic GBA")</f>
        <v>Metacritic GBA</v>
      </c>
      <c r="J6" s="1"/>
      <c r="K6" s="1"/>
      <c r="L6" s="1"/>
      <c r="M6" s="1"/>
    </row>
    <row r="7" customFormat="false" ht="15" hidden="false" customHeight="false" outlineLevel="0" collapsed="false">
      <c r="A7" s="8" t="s">
        <v>509</v>
      </c>
      <c r="B7" s="9" t="n">
        <v>93</v>
      </c>
      <c r="C7" s="10" t="str">
        <f aca="false">IF(B7="","Sin puntaje",IF(B7&gt;=90,"Obra maestra (90+)",IF(B7&gt;=80,"Muy bueno (80-89)",IF(B7&gt;=70,"Bueno (70-79)","Regular (&lt;70)"))))</f>
        <v>Obra maestra (90+)</v>
      </c>
      <c r="D7" s="34" t="n">
        <v>2001</v>
      </c>
      <c r="E7" s="11" t="s">
        <v>461</v>
      </c>
      <c r="F7" s="11" t="s">
        <v>13</v>
      </c>
      <c r="G7" s="11" t="s">
        <v>385</v>
      </c>
      <c r="H7" s="11"/>
      <c r="I7" s="12" t="str">
        <f aca="false">HYPERLINK("https://www.metacritic.com/browse/game/game-boy-advance/all/all-time/metascore/","Metacritic GBA")</f>
        <v>Metacritic GBA</v>
      </c>
      <c r="J7" s="1"/>
      <c r="K7" s="1"/>
      <c r="L7" s="1"/>
      <c r="M7" s="1"/>
    </row>
    <row r="8" customFormat="false" ht="15" hidden="false" customHeight="false" outlineLevel="0" collapsed="false">
      <c r="A8" s="3" t="s">
        <v>510</v>
      </c>
      <c r="B8" s="4" t="n">
        <v>92</v>
      </c>
      <c r="C8" s="5" t="str">
        <f aca="false">IF(B8="","Sin puntaje",IF(B8&gt;=90,"Obra maestra (90+)",IF(B8&gt;=80,"Muy bueno (80-89)",IF(B8&gt;=70,"Bueno (70-79)","Regular (&lt;70)"))))</f>
        <v>Obra maestra (90+)</v>
      </c>
      <c r="D8" s="33" t="n">
        <v>2001</v>
      </c>
      <c r="E8" s="6" t="s">
        <v>511</v>
      </c>
      <c r="F8" s="6" t="s">
        <v>13</v>
      </c>
      <c r="G8" s="6" t="s">
        <v>385</v>
      </c>
      <c r="H8" s="6"/>
      <c r="I8" s="7" t="str">
        <f aca="false">HYPERLINK("https://www.metacritic.com/browse/game/game-boy-advance/all/all-time/metascore/","Metacritic GBA")</f>
        <v>Metacritic GBA</v>
      </c>
      <c r="J8" s="1"/>
      <c r="K8" s="1"/>
      <c r="L8" s="1"/>
      <c r="M8" s="1"/>
    </row>
    <row r="9" customFormat="false" ht="15" hidden="false" customHeight="false" outlineLevel="0" collapsed="false">
      <c r="A9" s="8" t="s">
        <v>512</v>
      </c>
      <c r="B9" s="9" t="n">
        <v>92</v>
      </c>
      <c r="C9" s="10" t="str">
        <f aca="false">IF(B9="","Sin puntaje",IF(B9&gt;=90,"Obra maestra (90+)",IF(B9&gt;=80,"Muy bueno (80-89)",IF(B9&gt;=70,"Bueno (70-79)","Regular (&lt;70)"))))</f>
        <v>Obra maestra (90+)</v>
      </c>
      <c r="D9" s="34" t="n">
        <v>2001</v>
      </c>
      <c r="E9" s="11" t="s">
        <v>429</v>
      </c>
      <c r="F9" s="11" t="s">
        <v>13</v>
      </c>
      <c r="G9" s="11" t="s">
        <v>385</v>
      </c>
      <c r="H9" s="11"/>
      <c r="I9" s="12" t="str">
        <f aca="false">HYPERLINK("https://www.metacritic.com/browse/game/game-boy-advance/all/all-time/metascore/","Metacritic GBA")</f>
        <v>Metacritic GBA</v>
      </c>
      <c r="J9" s="1"/>
      <c r="K9" s="1"/>
      <c r="L9" s="1"/>
      <c r="M9" s="1"/>
    </row>
    <row r="10" customFormat="false" ht="15" hidden="false" customHeight="false" outlineLevel="0" collapsed="false">
      <c r="A10" s="3" t="s">
        <v>513</v>
      </c>
      <c r="B10" s="4" t="n">
        <v>92</v>
      </c>
      <c r="C10" s="5" t="str">
        <f aca="false">IF(B10="","Sin puntaje",IF(B10&gt;=90,"Obra maestra (90+)",IF(B10&gt;=80,"Muy bueno (80-89)",IF(B10&gt;=70,"Bueno (70-79)","Regular (&lt;70)"))))</f>
        <v>Obra maestra (90+)</v>
      </c>
      <c r="D10" s="33" t="n">
        <v>2002</v>
      </c>
      <c r="E10" s="6" t="s">
        <v>449</v>
      </c>
      <c r="F10" s="6" t="s">
        <v>13</v>
      </c>
      <c r="G10" s="6" t="s">
        <v>385</v>
      </c>
      <c r="H10" s="6"/>
      <c r="I10" s="7" t="str">
        <f aca="false">HYPERLINK("https://www.metacritic.com/browse/game/game-boy-advance/all/all-time/metascore/","Metacritic GBA")</f>
        <v>Metacritic GBA</v>
      </c>
      <c r="J10" s="1"/>
      <c r="K10" s="1"/>
      <c r="L10" s="1"/>
      <c r="M10" s="1"/>
    </row>
    <row r="11" customFormat="false" ht="15" hidden="false" customHeight="false" outlineLevel="0" collapsed="false">
      <c r="A11" s="8" t="s">
        <v>514</v>
      </c>
      <c r="B11" s="9" t="n">
        <v>92</v>
      </c>
      <c r="C11" s="10" t="str">
        <f aca="false">IF(B11="","Sin puntaje",IF(B11&gt;=90,"Obra maestra (90+)",IF(B11&gt;=80,"Muy bueno (80-89)",IF(B11&gt;=70,"Bueno (70-79)","Regular (&lt;70)"))))</f>
        <v>Obra maestra (90+)</v>
      </c>
      <c r="D11" s="34" t="n">
        <v>2006</v>
      </c>
      <c r="E11" s="11" t="s">
        <v>447</v>
      </c>
      <c r="F11" s="11" t="s">
        <v>13</v>
      </c>
      <c r="G11" s="11" t="s">
        <v>385</v>
      </c>
      <c r="H11" s="11"/>
      <c r="I11" s="12" t="str">
        <f aca="false">HYPERLINK("https://www.metacritic.com/browse/game/game-boy-advance/all/all-time/metascore/","Metacritic GBA")</f>
        <v>Metacritic GBA</v>
      </c>
      <c r="J11" s="1"/>
      <c r="K11" s="1"/>
      <c r="L11" s="1"/>
      <c r="M11" s="1"/>
    </row>
    <row r="12" customFormat="false" ht="15" hidden="false" customHeight="false" outlineLevel="0" collapsed="false">
      <c r="A12" s="3" t="s">
        <v>515</v>
      </c>
      <c r="B12" s="4" t="n">
        <v>91</v>
      </c>
      <c r="C12" s="5" t="str">
        <f aca="false">IF(B12="","Sin puntaje",IF(B12&gt;=90,"Obra maestra (90+)",IF(B12&gt;=80,"Muy bueno (80-89)",IF(B12&gt;=70,"Bueno (70-79)","Regular (&lt;70)"))))</f>
        <v>Obra maestra (90+)</v>
      </c>
      <c r="D12" s="33" t="n">
        <v>2001</v>
      </c>
      <c r="E12" s="6" t="s">
        <v>447</v>
      </c>
      <c r="F12" s="6" t="s">
        <v>13</v>
      </c>
      <c r="G12" s="6" t="s">
        <v>385</v>
      </c>
      <c r="H12" s="6"/>
      <c r="I12" s="7" t="str">
        <f aca="false">HYPERLINK("https://retroxp.substack.com/p/ranking-the-top-101-nintendo-games-72d","Metacritic GBA")</f>
        <v>Metacritic GBA</v>
      </c>
      <c r="J12" s="1"/>
      <c r="K12" s="1"/>
      <c r="L12" s="1"/>
      <c r="M12" s="1"/>
    </row>
    <row r="13" customFormat="false" ht="15" hidden="false" customHeight="false" outlineLevel="0" collapsed="false">
      <c r="A13" s="8" t="s">
        <v>516</v>
      </c>
      <c r="B13" s="9" t="n">
        <v>91</v>
      </c>
      <c r="C13" s="10" t="str">
        <f aca="false">IF(B13="","Sin puntaje",IF(B13&gt;=90,"Obra maestra (90+)",IF(B13&gt;=80,"Muy bueno (80-89)",IF(B13&gt;=70,"Bueno (70-79)","Regular (&lt;70)"))))</f>
        <v>Obra maestra (90+)</v>
      </c>
      <c r="D13" s="34" t="n">
        <v>2002</v>
      </c>
      <c r="E13" s="11" t="s">
        <v>429</v>
      </c>
      <c r="F13" s="11" t="s">
        <v>13</v>
      </c>
      <c r="G13" s="11" t="s">
        <v>385</v>
      </c>
      <c r="H13" s="11"/>
      <c r="I13" s="12" t="str">
        <f aca="false">HYPERLINK("https://playpile.gg/games/yoshis-island","Metacritic GBA · dudoso")</f>
        <v>Metacritic GBA · dudoso</v>
      </c>
      <c r="J13" s="1"/>
      <c r="K13" s="1"/>
      <c r="L13" s="1"/>
      <c r="M13" s="1"/>
    </row>
    <row r="14" customFormat="false" ht="15" hidden="false" customHeight="false" outlineLevel="0" collapsed="false">
      <c r="A14" s="3" t="s">
        <v>517</v>
      </c>
      <c r="B14" s="4" t="n">
        <v>91</v>
      </c>
      <c r="C14" s="5" t="str">
        <f aca="false">IF(B14="","Sin puntaje",IF(B14&gt;=90,"Obra maestra (90+)",IF(B14&gt;=80,"Muy bueno (80-89)",IF(B14&gt;=70,"Bueno (70-79)","Regular (&lt;70)"))))</f>
        <v>Obra maestra (90+)</v>
      </c>
      <c r="D14" s="33" t="n">
        <v>2003</v>
      </c>
      <c r="E14" s="6" t="s">
        <v>449</v>
      </c>
      <c r="F14" s="6" t="s">
        <v>13</v>
      </c>
      <c r="G14" s="6" t="s">
        <v>385</v>
      </c>
      <c r="H14" s="6"/>
      <c r="I14" s="7" t="str">
        <f aca="false">HYPERLINK("https://www.cheatcc.com/?p=193083","Metacritic GBA")</f>
        <v>Metacritic GBA</v>
      </c>
      <c r="J14" s="1"/>
      <c r="K14" s="1"/>
      <c r="L14" s="1"/>
      <c r="M14" s="1"/>
    </row>
    <row r="15" customFormat="false" ht="15" hidden="false" customHeight="false" outlineLevel="0" collapsed="false">
      <c r="A15" s="8" t="s">
        <v>518</v>
      </c>
      <c r="B15" s="9" t="n">
        <v>90</v>
      </c>
      <c r="C15" s="10" t="str">
        <f aca="false">IF(B15="","Sin puntaje",IF(B15&gt;=90,"Obra maestra (90+)",IF(B15&gt;=80,"Muy bueno (80-89)",IF(B15&gt;=70,"Bueno (70-79)","Regular (&lt;70)"))))</f>
        <v>Obra maestra (90+)</v>
      </c>
      <c r="D15" s="34" t="n">
        <v>2003</v>
      </c>
      <c r="E15" s="11" t="s">
        <v>447</v>
      </c>
      <c r="F15" s="11" t="s">
        <v>13</v>
      </c>
      <c r="G15" s="11" t="s">
        <v>385</v>
      </c>
      <c r="H15" s="11"/>
      <c r="I15" s="12" t="str">
        <f aca="false">HYPERLINK("https://playpile.gg/games/mario-luigi-superstar-saga","Metacritic GBA")</f>
        <v>Metacritic GBA</v>
      </c>
      <c r="J15" s="1"/>
      <c r="K15" s="1"/>
      <c r="L15" s="1"/>
      <c r="M15" s="1"/>
    </row>
    <row r="16" customFormat="false" ht="15" hidden="false" customHeight="false" outlineLevel="0" collapsed="false">
      <c r="A16" s="3" t="s">
        <v>519</v>
      </c>
      <c r="B16" s="4" t="n">
        <v>89</v>
      </c>
      <c r="C16" s="5" t="str">
        <f aca="false">IF(B16="","Sin puntaje",IF(B16&gt;=90,"Obra maestra (90+)",IF(B16&gt;=80,"Muy bueno (80-89)",IF(B16&gt;=70,"Bueno (70-79)","Regular (&lt;70)"))))</f>
        <v>Muy bueno (80-89)</v>
      </c>
      <c r="D16" s="33" t="n">
        <v>2003</v>
      </c>
      <c r="E16" s="6" t="s">
        <v>511</v>
      </c>
      <c r="F16" s="6" t="s">
        <v>13</v>
      </c>
      <c r="G16" s="6" t="s">
        <v>385</v>
      </c>
      <c r="H16" s="6"/>
      <c r="I16" s="7" t="str">
        <f aca="false">HYPERLINK("https://primagames.com/?p=118797","Metacritic GBA")</f>
        <v>Metacritic GBA</v>
      </c>
      <c r="J16" s="1"/>
      <c r="K16" s="1"/>
      <c r="L16" s="1"/>
      <c r="M16" s="1"/>
    </row>
    <row r="17" customFormat="false" ht="15" hidden="false" customHeight="false" outlineLevel="0" collapsed="false">
      <c r="A17" s="8" t="s">
        <v>520</v>
      </c>
      <c r="B17" s="9" t="n">
        <v>89</v>
      </c>
      <c r="C17" s="10" t="str">
        <f aca="false">IF(B17="","Sin puntaje",IF(B17&gt;=90,"Obra maestra (90+)",IF(B17&gt;=80,"Muy bueno (80-89)",IF(B17&gt;=70,"Bueno (70-79)","Regular (&lt;70)"))))</f>
        <v>Muy bueno (80-89)</v>
      </c>
      <c r="D17" s="34" t="n">
        <v>2004</v>
      </c>
      <c r="E17" s="11" t="s">
        <v>449</v>
      </c>
      <c r="F17" s="11" t="s">
        <v>13</v>
      </c>
      <c r="G17" s="11" t="s">
        <v>385</v>
      </c>
      <c r="H17" s="11"/>
      <c r="I17" s="12" t="str">
        <f aca="false">HYPERLINK("https://handwiki.org/wiki/Software:Metroid:_Zero_Mission","Metacritic GBA")</f>
        <v>Metacritic GBA</v>
      </c>
      <c r="J17" s="1"/>
      <c r="K17" s="1"/>
      <c r="L17" s="1"/>
      <c r="M17" s="1"/>
    </row>
    <row r="18" customFormat="false" ht="15" hidden="false" customHeight="false" outlineLevel="0" collapsed="false">
      <c r="A18" s="3" t="s">
        <v>521</v>
      </c>
      <c r="B18" s="4" t="n">
        <v>89</v>
      </c>
      <c r="C18" s="5" t="str">
        <f aca="false">IF(B18="","Sin puntaje",IF(B18&gt;=90,"Obra maestra (90+)",IF(B18&gt;=80,"Muy bueno (80-89)",IF(B18&gt;=70,"Bueno (70-79)","Regular (&lt;70)"))))</f>
        <v>Muy bueno (80-89)</v>
      </c>
      <c r="D18" s="33" t="n">
        <v>2004</v>
      </c>
      <c r="E18" s="6" t="s">
        <v>440</v>
      </c>
      <c r="F18" s="6" t="s">
        <v>13</v>
      </c>
      <c r="G18" s="6" t="s">
        <v>385</v>
      </c>
      <c r="H18" s="6"/>
      <c r="I18" s="7" t="str">
        <f aca="false">HYPERLINK("https://deltiasgaming.com/article/zelda-games-ranked-as-per-their-rating-on-metacritic","Metacritic GBA")</f>
        <v>Metacritic GBA</v>
      </c>
      <c r="J18" s="1"/>
      <c r="K18" s="1"/>
      <c r="L18" s="1"/>
      <c r="M18" s="1"/>
    </row>
    <row r="19" customFormat="false" ht="15" hidden="false" customHeight="false" outlineLevel="0" collapsed="false">
      <c r="A19" s="8" t="s">
        <v>522</v>
      </c>
      <c r="B19" s="9" t="n">
        <v>88</v>
      </c>
      <c r="C19" s="10" t="str">
        <f aca="false">IF(B19="","Sin puntaje",IF(B19&gt;=90,"Obra maestra (90+)",IF(B19&gt;=80,"Muy bueno (80-89)",IF(B19&gt;=70,"Bueno (70-79)","Regular (&lt;70)"))))</f>
        <v>Muy bueno (80-89)</v>
      </c>
      <c r="D19" s="34" t="n">
        <v>2001</v>
      </c>
      <c r="E19" s="11" t="s">
        <v>429</v>
      </c>
      <c r="F19" s="11" t="s">
        <v>13</v>
      </c>
      <c r="G19" s="11" t="s">
        <v>385</v>
      </c>
      <c r="H19" s="11"/>
      <c r="I19" s="12" t="str">
        <f aca="false">HYPERLINK("https://en.wikipedia.org/wiki/Wario_Land_4","Metacritic GBA")</f>
        <v>Metacritic GBA</v>
      </c>
      <c r="J19" s="1"/>
      <c r="K19" s="1"/>
      <c r="L19" s="1"/>
      <c r="M19" s="1"/>
    </row>
    <row r="20" customFormat="false" ht="15" hidden="false" customHeight="false" outlineLevel="0" collapsed="false">
      <c r="A20" s="3" t="s">
        <v>523</v>
      </c>
      <c r="B20" s="4" t="n">
        <v>88</v>
      </c>
      <c r="C20" s="5" t="str">
        <f aca="false">IF(B20="","Sin puntaje",IF(B20&gt;=90,"Obra maestra (90+)",IF(B20&gt;=80,"Muy bueno (80-89)",IF(B20&gt;=70,"Bueno (70-79)","Regular (&lt;70)"))))</f>
        <v>Muy bueno (80-89)</v>
      </c>
      <c r="D20" s="33" t="n">
        <v>2003</v>
      </c>
      <c r="E20" s="6" t="s">
        <v>511</v>
      </c>
      <c r="F20" s="6" t="s">
        <v>13</v>
      </c>
      <c r="G20" s="6" t="s">
        <v>385</v>
      </c>
      <c r="H20" s="6"/>
      <c r="I20" s="7" t="str">
        <f aca="false">HYPERLINK("https://rawg.io/games/fire-emblem/suggestions","Metacritic GBA")</f>
        <v>Metacritic GBA</v>
      </c>
      <c r="J20" s="1"/>
      <c r="K20" s="1"/>
      <c r="L20" s="1"/>
      <c r="M20" s="1"/>
    </row>
    <row r="21" customFormat="false" ht="15" hidden="false" customHeight="false" outlineLevel="0" collapsed="false">
      <c r="A21" s="8" t="s">
        <v>524</v>
      </c>
      <c r="B21" s="9" t="n">
        <v>87</v>
      </c>
      <c r="C21" s="10" t="str">
        <f aca="false">IF(B21="","Sin puntaje",IF(B21&gt;=90,"Obra maestra (90+)",IF(B21&gt;=80,"Muy bueno (80-89)",IF(B21&gt;=70,"Bueno (70-79)","Regular (&lt;70)"))))</f>
        <v>Muy bueno (80-89)</v>
      </c>
      <c r="D21" s="34" t="n">
        <v>2003</v>
      </c>
      <c r="E21" s="11" t="s">
        <v>511</v>
      </c>
      <c r="F21" s="11" t="s">
        <v>13</v>
      </c>
      <c r="G21" s="11" t="s">
        <v>385</v>
      </c>
      <c r="H21" s="11"/>
      <c r="I21" s="12" t="str">
        <f aca="false">HYPERLINK("https://www.cheatcc.com/?p=94402","Metacritic GBA")</f>
        <v>Metacritic GBA</v>
      </c>
      <c r="J21" s="1"/>
      <c r="K21" s="1"/>
      <c r="L21" s="1"/>
      <c r="M21" s="1"/>
    </row>
    <row r="22" customFormat="false" ht="15" hidden="false" customHeight="false" outlineLevel="0" collapsed="false">
      <c r="A22" s="3" t="s">
        <v>525</v>
      </c>
      <c r="B22" s="4" t="n">
        <v>86</v>
      </c>
      <c r="C22" s="5" t="str">
        <f aca="false">IF(B22="","Sin puntaje",IF(B22&gt;=90,"Obra maestra (90+)",IF(B22&gt;=80,"Muy bueno (80-89)",IF(B22&gt;=70,"Bueno (70-79)","Regular (&lt;70)"))))</f>
        <v>Muy bueno (80-89)</v>
      </c>
      <c r="D22" s="33" t="n">
        <v>2002</v>
      </c>
      <c r="E22" s="6" t="s">
        <v>447</v>
      </c>
      <c r="F22" s="6" t="s">
        <v>13</v>
      </c>
      <c r="G22" s="6" t="s">
        <v>385</v>
      </c>
      <c r="H22" s="6"/>
      <c r="I22" s="7" t="str">
        <f aca="false">HYPERLINK("https://goldensunwiki.net/wiki/TLA","Metacritic GBA")</f>
        <v>Metacritic GBA</v>
      </c>
      <c r="J22" s="1"/>
      <c r="K22" s="1"/>
      <c r="L22" s="1"/>
      <c r="M22" s="1"/>
    </row>
    <row r="23" customFormat="false" ht="15" hidden="false" customHeight="false" outlineLevel="0" collapsed="false">
      <c r="A23" s="8" t="s">
        <v>526</v>
      </c>
      <c r="B23" s="9" t="n">
        <v>76</v>
      </c>
      <c r="C23" s="10" t="str">
        <f aca="false">IF(B23="","Sin puntaje",IF(B23&gt;=90,"Obra maestra (90+)",IF(B23&gt;=80,"Muy bueno (80-89)",IF(B23&gt;=70,"Bueno (70-79)","Regular (&lt;70)"))))</f>
        <v>Bueno (70-79)</v>
      </c>
      <c r="D23" s="34" t="n">
        <v>2004</v>
      </c>
      <c r="E23" s="11" t="s">
        <v>447</v>
      </c>
      <c r="F23" s="11" t="s">
        <v>13</v>
      </c>
      <c r="G23" s="11" t="s">
        <v>385</v>
      </c>
      <c r="H23" s="11"/>
      <c r="I23" s="12" t="str">
        <f aca="false">HYPERLINK("https://www.gamepro.de/artikel/pokemon-metacritic-ranking,3387609.html","Metacritic GBA")</f>
        <v>Metacritic GBA</v>
      </c>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sheetData>
  <autoFilter ref="A3:I23"/>
  <conditionalFormatting sqref="B4:B23">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3">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3">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527</v>
      </c>
      <c r="B2" s="1"/>
      <c r="C2" s="1"/>
      <c r="D2" s="1"/>
      <c r="E2" s="1"/>
      <c r="F2" s="1"/>
      <c r="G2" s="1"/>
      <c r="H2" s="1"/>
      <c r="I2" s="1"/>
      <c r="J2" s="1"/>
      <c r="K2" s="1"/>
      <c r="L2" s="1"/>
      <c r="M2" s="1"/>
    </row>
    <row r="3" customFormat="false" ht="21.75" hidden="false" customHeight="true" outlineLevel="0" collapsed="false">
      <c r="A3" s="2" t="s">
        <v>0</v>
      </c>
      <c r="B3" s="2" t="s">
        <v>1</v>
      </c>
      <c r="C3" s="2" t="s">
        <v>2</v>
      </c>
      <c r="D3" s="2" t="s">
        <v>426</v>
      </c>
      <c r="E3" s="2" t="s">
        <v>427</v>
      </c>
      <c r="F3" s="2" t="s">
        <v>4</v>
      </c>
      <c r="G3" s="2" t="s">
        <v>381</v>
      </c>
      <c r="H3" s="2" t="s">
        <v>8</v>
      </c>
      <c r="I3" s="2" t="s">
        <v>9</v>
      </c>
      <c r="J3" s="1"/>
      <c r="K3" s="1"/>
      <c r="L3" s="1"/>
      <c r="M3" s="1"/>
    </row>
    <row r="4" customFormat="false" ht="23.85" hidden="false" customHeight="false" outlineLevel="0" collapsed="false">
      <c r="A4" s="3" t="s">
        <v>528</v>
      </c>
      <c r="B4" s="4" t="n">
        <v>91</v>
      </c>
      <c r="C4" s="5" t="str">
        <f aca="false">IF(B4="","Sin puntaje",IF(B4&gt;=90,"Obra maestra (90+)",IF(B4&gt;=80,"Muy bueno (80-89)",IF(B4&gt;=70,"Bueno (70-79)","Regular (&lt;70)"))))</f>
        <v>Obra maestra (90+)</v>
      </c>
      <c r="D4" s="33" t="n">
        <v>1991</v>
      </c>
      <c r="E4" s="6" t="s">
        <v>429</v>
      </c>
      <c r="F4" s="6" t="s">
        <v>13</v>
      </c>
      <c r="G4" s="6" t="s">
        <v>386</v>
      </c>
      <c r="H4" s="6" t="s">
        <v>529</v>
      </c>
      <c r="I4" s="7" t="str">
        <f aca="false">HYPERLINK("https://www.mobygames.com/game/6579/sonic-the-hedgehog/reviews/genesis/","MobyGames Genesis")</f>
        <v>MobyGames Genesis</v>
      </c>
      <c r="J4" s="1"/>
      <c r="K4" s="1"/>
      <c r="L4" s="1"/>
      <c r="M4" s="1"/>
    </row>
    <row r="5" customFormat="false" ht="23.85" hidden="false" customHeight="false" outlineLevel="0" collapsed="false">
      <c r="A5" s="8" t="s">
        <v>530</v>
      </c>
      <c r="B5" s="9" t="n">
        <v>90</v>
      </c>
      <c r="C5" s="10" t="str">
        <f aca="false">IF(B5="","Sin puntaje",IF(B5&gt;=90,"Obra maestra (90+)",IF(B5&gt;=80,"Muy bueno (80-89)",IF(B5&gt;=70,"Bueno (70-79)","Regular (&lt;70)"))))</f>
        <v>Obra maestra (90+)</v>
      </c>
      <c r="D5" s="34" t="n">
        <v>1994</v>
      </c>
      <c r="E5" s="11" t="s">
        <v>433</v>
      </c>
      <c r="F5" s="11" t="s">
        <v>13</v>
      </c>
      <c r="G5" s="11" t="s">
        <v>386</v>
      </c>
      <c r="H5" s="11"/>
      <c r="I5" s="12" t="str">
        <f aca="false">HYPERLINK("https://www.mobygames.com/game/2927/earthworm-jim/reviews/genesis/","MobyGames Genesis")</f>
        <v>MobyGames Genesis</v>
      </c>
      <c r="J5" s="1"/>
      <c r="K5" s="1"/>
      <c r="L5" s="1"/>
      <c r="M5" s="1"/>
    </row>
    <row r="6" customFormat="false" ht="23.85" hidden="false" customHeight="false" outlineLevel="0" collapsed="false">
      <c r="A6" s="3" t="s">
        <v>531</v>
      </c>
      <c r="B6" s="4" t="n">
        <v>89</v>
      </c>
      <c r="C6" s="5" t="str">
        <f aca="false">IF(B6="","Sin puntaje",IF(B6&gt;=90,"Obra maestra (90+)",IF(B6&gt;=80,"Muy bueno (80-89)",IF(B6&gt;=70,"Bueno (70-79)","Regular (&lt;70)"))))</f>
        <v>Muy bueno (80-89)</v>
      </c>
      <c r="D6" s="33" t="n">
        <v>1993</v>
      </c>
      <c r="E6" s="6" t="s">
        <v>511</v>
      </c>
      <c r="F6" s="6" t="s">
        <v>13</v>
      </c>
      <c r="G6" s="6" t="s">
        <v>386</v>
      </c>
      <c r="H6" s="6"/>
      <c r="I6" s="7" t="str">
        <f aca="false">HYPERLINK("https://www.guinnessworldrecords.com/world-records/98927-most-critically-acclaimed-strategy-rpg","GameRankings Genesis")</f>
        <v>GameRankings Genesis</v>
      </c>
      <c r="J6" s="1"/>
      <c r="K6" s="1"/>
      <c r="L6" s="1"/>
      <c r="M6" s="1"/>
    </row>
    <row r="7" customFormat="false" ht="23.85" hidden="false" customHeight="false" outlineLevel="0" collapsed="false">
      <c r="A7" s="8" t="s">
        <v>532</v>
      </c>
      <c r="B7" s="9" t="n">
        <v>88</v>
      </c>
      <c r="C7" s="10" t="str">
        <f aca="false">IF(B7="","Sin puntaje",IF(B7&gt;=90,"Obra maestra (90+)",IF(B7&gt;=80,"Muy bueno (80-89)",IF(B7&gt;=70,"Bueno (70-79)","Regular (&lt;70)"))))</f>
        <v>Muy bueno (80-89)</v>
      </c>
      <c r="D7" s="34" t="n">
        <v>1992</v>
      </c>
      <c r="E7" s="11" t="s">
        <v>471</v>
      </c>
      <c r="F7" s="11" t="s">
        <v>13</v>
      </c>
      <c r="G7" s="11" t="s">
        <v>386</v>
      </c>
      <c r="H7" s="11"/>
      <c r="I7" s="12" t="str">
        <f aca="false">HYPERLINK("https://www.mobygames.com/game/6955/landstalker/","MobyGames Genesis")</f>
        <v>MobyGames Genesis</v>
      </c>
      <c r="J7" s="1"/>
      <c r="K7" s="1"/>
      <c r="L7" s="1"/>
      <c r="M7" s="1"/>
    </row>
    <row r="8" customFormat="false" ht="23.85" hidden="false" customHeight="false" outlineLevel="0" collapsed="false">
      <c r="A8" s="3" t="s">
        <v>533</v>
      </c>
      <c r="B8" s="4" t="n">
        <v>84</v>
      </c>
      <c r="C8" s="5" t="str">
        <f aca="false">IF(B8="","Sin puntaje",IF(B8&gt;=90,"Obra maestra (90+)",IF(B8&gt;=80,"Muy bueno (80-89)",IF(B8&gt;=70,"Bueno (70-79)","Regular (&lt;70)"))))</f>
        <v>Muy bueno (80-89)</v>
      </c>
      <c r="D8" s="33" t="n">
        <v>1995</v>
      </c>
      <c r="E8" s="6" t="s">
        <v>429</v>
      </c>
      <c r="F8" s="6" t="s">
        <v>13</v>
      </c>
      <c r="G8" s="6" t="s">
        <v>386</v>
      </c>
      <c r="H8" s="6"/>
      <c r="I8" s="7" t="str">
        <f aca="false">HYPERLINK("https://www.mobygames.com/game/11538/ristar/reviews/genesis/","MobyGames Genesis")</f>
        <v>MobyGames Genesis</v>
      </c>
      <c r="J8" s="1"/>
      <c r="K8" s="1"/>
      <c r="L8" s="1"/>
      <c r="M8" s="1"/>
    </row>
    <row r="9" customFormat="false" ht="23.85" hidden="false" customHeight="false" outlineLevel="0" collapsed="false">
      <c r="A9" s="8" t="s">
        <v>534</v>
      </c>
      <c r="B9" s="9" t="n">
        <v>83</v>
      </c>
      <c r="C9" s="10" t="str">
        <f aca="false">IF(B9="","Sin puntaje",IF(B9&gt;=90,"Obra maestra (90+)",IF(B9&gt;=80,"Muy bueno (80-89)",IF(B9&gt;=70,"Bueno (70-79)","Regular (&lt;70)"))))</f>
        <v>Muy bueno (80-89)</v>
      </c>
      <c r="D9" s="34" t="n">
        <v>1993</v>
      </c>
      <c r="E9" s="11" t="s">
        <v>433</v>
      </c>
      <c r="F9" s="11" t="s">
        <v>13</v>
      </c>
      <c r="G9" s="11" t="s">
        <v>386</v>
      </c>
      <c r="H9" s="11"/>
      <c r="I9" s="12" t="str">
        <f aca="false">HYPERLINK("https://www.mobygames.com/game/7397/rocket-knight-adventures/","MobyGames Genesis")</f>
        <v>MobyGames Genesis</v>
      </c>
      <c r="J9" s="1"/>
      <c r="K9" s="1"/>
      <c r="L9" s="1"/>
      <c r="M9" s="1"/>
    </row>
    <row r="10" customFormat="false" ht="23.85" hidden="false" customHeight="false" outlineLevel="0" collapsed="false">
      <c r="A10" s="3" t="s">
        <v>535</v>
      </c>
      <c r="B10" s="4" t="n">
        <v>82</v>
      </c>
      <c r="C10" s="5" t="str">
        <f aca="false">IF(B10="","Sin puntaje",IF(B10&gt;=90,"Obra maestra (90+)",IF(B10&gt;=80,"Muy bueno (80-89)",IF(B10&gt;=70,"Bueno (70-79)","Regular (&lt;70)"))))</f>
        <v>Muy bueno (80-89)</v>
      </c>
      <c r="D10" s="33" t="n">
        <v>1992</v>
      </c>
      <c r="E10" s="6" t="s">
        <v>440</v>
      </c>
      <c r="F10" s="6" t="s">
        <v>13</v>
      </c>
      <c r="G10" s="6" t="s">
        <v>386</v>
      </c>
      <c r="H10" s="6"/>
      <c r="I10" s="7" t="str">
        <f aca="false">HYPERLINK("https://www.mobygames.com/game/genesis/ecco-the-dolphin/reviews","MobyGames Genesis")</f>
        <v>MobyGames Genesis</v>
      </c>
      <c r="J10" s="1"/>
      <c r="K10" s="1"/>
      <c r="L10" s="1"/>
      <c r="M10" s="1"/>
    </row>
    <row r="11" customFormat="false" ht="23.85" hidden="false" customHeight="false" outlineLevel="0" collapsed="false">
      <c r="A11" s="8" t="s">
        <v>536</v>
      </c>
      <c r="B11" s="9" t="n">
        <v>81</v>
      </c>
      <c r="C11" s="10" t="str">
        <f aca="false">IF(B11="","Sin puntaje",IF(B11&gt;=90,"Obra maestra (90+)",IF(B11&gt;=80,"Muy bueno (80-89)",IF(B11&gt;=70,"Bueno (70-79)","Regular (&lt;70)"))))</f>
        <v>Muy bueno (80-89)</v>
      </c>
      <c r="D11" s="34" t="n">
        <v>1991</v>
      </c>
      <c r="E11" s="11" t="s">
        <v>440</v>
      </c>
      <c r="F11" s="11" t="s">
        <v>13</v>
      </c>
      <c r="G11" s="11" t="s">
        <v>386</v>
      </c>
      <c r="H11" s="11"/>
      <c r="I11" s="12" t="str">
        <f aca="false">HYPERLINK("https://www.mobygames.com/game/7247/toejam-earl/","MobyGames Genesis · dudoso")</f>
        <v>MobyGames Genesis · dudoso</v>
      </c>
      <c r="J11" s="1"/>
      <c r="K11" s="1"/>
      <c r="L11" s="1"/>
      <c r="M11" s="1"/>
    </row>
    <row r="12" customFormat="false" ht="23.85" hidden="false" customHeight="false" outlineLevel="0" collapsed="false">
      <c r="A12" s="3" t="s">
        <v>537</v>
      </c>
      <c r="B12" s="4" t="n">
        <v>77</v>
      </c>
      <c r="C12" s="5" t="str">
        <f aca="false">IF(B12="","Sin puntaje",IF(B12&gt;=90,"Obra maestra (90+)",IF(B12&gt;=80,"Muy bueno (80-89)",IF(B12&gt;=70,"Bueno (70-79)","Regular (&lt;70)"))))</f>
        <v>Bueno (70-79)</v>
      </c>
      <c r="D12" s="33" t="n">
        <v>1995</v>
      </c>
      <c r="E12" s="6" t="s">
        <v>538</v>
      </c>
      <c r="F12" s="6" t="s">
        <v>13</v>
      </c>
      <c r="G12" s="6" t="s">
        <v>386</v>
      </c>
      <c r="H12" s="6"/>
      <c r="I12" s="7" t="str">
        <f aca="false">HYPERLINK("https://www.mobygames.com/game/3300/comix-zone/reviews/genesis/","MobyGames Genesis")</f>
        <v>MobyGames Genesis</v>
      </c>
      <c r="J12" s="1"/>
      <c r="K12" s="1"/>
      <c r="L12" s="1"/>
      <c r="M12" s="1"/>
    </row>
    <row r="13" customFormat="false" ht="23.85" hidden="false" customHeight="false" outlineLevel="0" collapsed="false">
      <c r="A13" s="8" t="s">
        <v>539</v>
      </c>
      <c r="B13" s="9"/>
      <c r="C13" s="10" t="str">
        <f aca="false">IF(B13="","Sin puntaje",IF(B13&gt;=90,"Obra maestra (90+)",IF(B13&gt;=80,"Muy bueno (80-89)",IF(B13&gt;=70,"Bueno (70-79)","Regular (&lt;70)"))))</f>
        <v>Sin puntaje</v>
      </c>
      <c r="D13" s="34" t="n">
        <v>1992</v>
      </c>
      <c r="E13" s="11" t="s">
        <v>429</v>
      </c>
      <c r="F13" s="11" t="s">
        <v>13</v>
      </c>
      <c r="G13" s="11" t="s">
        <v>386</v>
      </c>
      <c r="H13" s="11" t="s">
        <v>529</v>
      </c>
      <c r="I13" s="14" t="s">
        <v>57</v>
      </c>
      <c r="J13" s="1"/>
      <c r="K13" s="1"/>
      <c r="L13" s="1"/>
      <c r="M13" s="1"/>
    </row>
    <row r="14" customFormat="false" ht="23.85" hidden="false" customHeight="false" outlineLevel="0" collapsed="false">
      <c r="A14" s="3" t="s">
        <v>540</v>
      </c>
      <c r="B14" s="4"/>
      <c r="C14" s="5" t="str">
        <f aca="false">IF(B14="","Sin puntaje",IF(B14&gt;=90,"Obra maestra (90+)",IF(B14&gt;=80,"Muy bueno (80-89)",IF(B14&gt;=70,"Bueno (70-79)","Regular (&lt;70)"))))</f>
        <v>Sin puntaje</v>
      </c>
      <c r="D14" s="33" t="n">
        <v>1992</v>
      </c>
      <c r="E14" s="6" t="s">
        <v>538</v>
      </c>
      <c r="F14" s="6" t="s">
        <v>13</v>
      </c>
      <c r="G14" s="6" t="s">
        <v>386</v>
      </c>
      <c r="H14" s="6"/>
      <c r="I14" s="13" t="s">
        <v>57</v>
      </c>
      <c r="J14" s="1"/>
      <c r="K14" s="1"/>
      <c r="L14" s="1"/>
      <c r="M14" s="1"/>
    </row>
    <row r="15" customFormat="false" ht="23.85" hidden="false" customHeight="false" outlineLevel="0" collapsed="false">
      <c r="A15" s="8" t="s">
        <v>541</v>
      </c>
      <c r="B15" s="9"/>
      <c r="C15" s="10" t="str">
        <f aca="false">IF(B15="","Sin puntaje",IF(B15&gt;=90,"Obra maestra (90+)",IF(B15&gt;=80,"Muy bueno (80-89)",IF(B15&gt;=70,"Bueno (70-79)","Regular (&lt;70)"))))</f>
        <v>Sin puntaje</v>
      </c>
      <c r="D15" s="34" t="n">
        <v>1992</v>
      </c>
      <c r="E15" s="11" t="s">
        <v>542</v>
      </c>
      <c r="F15" s="11" t="s">
        <v>13</v>
      </c>
      <c r="G15" s="11" t="s">
        <v>386</v>
      </c>
      <c r="H15" s="11"/>
      <c r="I15" s="14" t="s">
        <v>57</v>
      </c>
      <c r="J15" s="1"/>
      <c r="K15" s="1"/>
      <c r="L15" s="1"/>
      <c r="M15" s="1"/>
    </row>
    <row r="16" customFormat="false" ht="23.85" hidden="false" customHeight="false" outlineLevel="0" collapsed="false">
      <c r="A16" s="3" t="s">
        <v>543</v>
      </c>
      <c r="B16" s="4"/>
      <c r="C16" s="5" t="str">
        <f aca="false">IF(B16="","Sin puntaje",IF(B16&gt;=90,"Obra maestra (90+)",IF(B16&gt;=80,"Muy bueno (80-89)",IF(B16&gt;=70,"Bueno (70-79)","Regular (&lt;70)"))))</f>
        <v>Sin puntaje</v>
      </c>
      <c r="D16" s="33" t="n">
        <v>1993</v>
      </c>
      <c r="E16" s="6" t="s">
        <v>431</v>
      </c>
      <c r="F16" s="6" t="s">
        <v>13</v>
      </c>
      <c r="G16" s="6" t="s">
        <v>386</v>
      </c>
      <c r="H16" s="6"/>
      <c r="I16" s="13" t="s">
        <v>57</v>
      </c>
      <c r="J16" s="1"/>
      <c r="K16" s="1"/>
      <c r="L16" s="1"/>
      <c r="M16" s="1"/>
    </row>
    <row r="17" customFormat="false" ht="23.85" hidden="false" customHeight="false" outlineLevel="0" collapsed="false">
      <c r="A17" s="8" t="s">
        <v>544</v>
      </c>
      <c r="B17" s="9"/>
      <c r="C17" s="10" t="str">
        <f aca="false">IF(B17="","Sin puntaje",IF(B17&gt;=90,"Obra maestra (90+)",IF(B17&gt;=80,"Muy bueno (80-89)",IF(B17&gt;=70,"Bueno (70-79)","Regular (&lt;70)"))))</f>
        <v>Sin puntaje</v>
      </c>
      <c r="D17" s="34" t="n">
        <v>1993</v>
      </c>
      <c r="E17" s="11" t="s">
        <v>447</v>
      </c>
      <c r="F17" s="11" t="s">
        <v>13</v>
      </c>
      <c r="G17" s="11" t="s">
        <v>386</v>
      </c>
      <c r="H17" s="11"/>
      <c r="I17" s="14" t="s">
        <v>57</v>
      </c>
      <c r="J17" s="1"/>
      <c r="K17" s="1"/>
      <c r="L17" s="1"/>
      <c r="M17" s="1"/>
    </row>
    <row r="18" customFormat="false" ht="23.85" hidden="false" customHeight="false" outlineLevel="0" collapsed="false">
      <c r="A18" s="3" t="s">
        <v>545</v>
      </c>
      <c r="B18" s="4"/>
      <c r="C18" s="5" t="str">
        <f aca="false">IF(B18="","Sin puntaje",IF(B18&gt;=90,"Obra maestra (90+)",IF(B18&gt;=80,"Muy bueno (80-89)",IF(B18&gt;=70,"Bueno (70-79)","Regular (&lt;70)"))))</f>
        <v>Sin puntaje</v>
      </c>
      <c r="D18" s="33" t="n">
        <v>1993</v>
      </c>
      <c r="E18" s="6" t="s">
        <v>433</v>
      </c>
      <c r="F18" s="6" t="s">
        <v>13</v>
      </c>
      <c r="G18" s="6" t="s">
        <v>386</v>
      </c>
      <c r="H18" s="6"/>
      <c r="I18" s="13" t="s">
        <v>57</v>
      </c>
      <c r="J18" s="1"/>
      <c r="K18" s="1"/>
      <c r="L18" s="1"/>
      <c r="M18" s="1"/>
    </row>
    <row r="19" customFormat="false" ht="23.85" hidden="false" customHeight="false" outlineLevel="0" collapsed="false">
      <c r="A19" s="8" t="s">
        <v>546</v>
      </c>
      <c r="B19" s="9"/>
      <c r="C19" s="10" t="str">
        <f aca="false">IF(B19="","Sin puntaje",IF(B19&gt;=90,"Obra maestra (90+)",IF(B19&gt;=80,"Muy bueno (80-89)",IF(B19&gt;=70,"Bueno (70-79)","Regular (&lt;70)"))))</f>
        <v>Sin puntaje</v>
      </c>
      <c r="D19" s="34" t="n">
        <v>1993</v>
      </c>
      <c r="E19" s="11" t="s">
        <v>429</v>
      </c>
      <c r="F19" s="11" t="s">
        <v>13</v>
      </c>
      <c r="G19" s="11" t="s">
        <v>386</v>
      </c>
      <c r="H19" s="11"/>
      <c r="I19" s="14" t="s">
        <v>57</v>
      </c>
      <c r="J19" s="1"/>
      <c r="K19" s="1"/>
      <c r="L19" s="1"/>
      <c r="M19" s="1"/>
    </row>
    <row r="20" customFormat="false" ht="23.85" hidden="false" customHeight="false" outlineLevel="0" collapsed="false">
      <c r="A20" s="3" t="s">
        <v>547</v>
      </c>
      <c r="B20" s="4"/>
      <c r="C20" s="5" t="str">
        <f aca="false">IF(B20="","Sin puntaje",IF(B20&gt;=90,"Obra maestra (90+)",IF(B20&gt;=80,"Muy bueno (80-89)",IF(B20&gt;=70,"Bueno (70-79)","Regular (&lt;70)"))))</f>
        <v>Sin puntaje</v>
      </c>
      <c r="D20" s="33" t="n">
        <v>1994</v>
      </c>
      <c r="E20" s="6" t="s">
        <v>429</v>
      </c>
      <c r="F20" s="6" t="s">
        <v>13</v>
      </c>
      <c r="G20" s="6" t="s">
        <v>386</v>
      </c>
      <c r="H20" s="6" t="s">
        <v>548</v>
      </c>
      <c r="I20" s="13" t="s">
        <v>57</v>
      </c>
      <c r="J20" s="1"/>
      <c r="K20" s="1"/>
      <c r="L20" s="1"/>
      <c r="M20" s="1"/>
    </row>
    <row r="21" customFormat="false" ht="23.85" hidden="false" customHeight="false" outlineLevel="0" collapsed="false">
      <c r="A21" s="8" t="s">
        <v>549</v>
      </c>
      <c r="B21" s="9"/>
      <c r="C21" s="10" t="str">
        <f aca="false">IF(B21="","Sin puntaje",IF(B21&gt;=90,"Obra maestra (90+)",IF(B21&gt;=80,"Muy bueno (80-89)",IF(B21&gt;=70,"Bueno (70-79)","Regular (&lt;70)"))))</f>
        <v>Sin puntaje</v>
      </c>
      <c r="D21" s="34" t="n">
        <v>1994</v>
      </c>
      <c r="E21" s="11" t="s">
        <v>433</v>
      </c>
      <c r="F21" s="11" t="s">
        <v>13</v>
      </c>
      <c r="G21" s="11" t="s">
        <v>386</v>
      </c>
      <c r="H21" s="11"/>
      <c r="I21" s="14" t="s">
        <v>57</v>
      </c>
      <c r="J21" s="1"/>
      <c r="K21" s="1"/>
      <c r="L21" s="1"/>
      <c r="M21" s="1"/>
    </row>
    <row r="22" customFormat="false" ht="23.85" hidden="false" customHeight="false" outlineLevel="0" collapsed="false">
      <c r="A22" s="3" t="s">
        <v>550</v>
      </c>
      <c r="B22" s="4"/>
      <c r="C22" s="5" t="str">
        <f aca="false">IF(B22="","Sin puntaje",IF(B22&gt;=90,"Obra maestra (90+)",IF(B22&gt;=80,"Muy bueno (80-89)",IF(B22&gt;=70,"Bueno (70-79)","Regular (&lt;70)"))))</f>
        <v>Sin puntaje</v>
      </c>
      <c r="D22" s="33" t="n">
        <v>1994</v>
      </c>
      <c r="E22" s="6" t="s">
        <v>431</v>
      </c>
      <c r="F22" s="6" t="s">
        <v>13</v>
      </c>
      <c r="G22" s="6" t="s">
        <v>386</v>
      </c>
      <c r="H22" s="6"/>
      <c r="I22" s="13" t="s">
        <v>57</v>
      </c>
      <c r="J22" s="1"/>
      <c r="K22" s="1"/>
      <c r="L22" s="1"/>
      <c r="M22" s="1"/>
    </row>
    <row r="23" customFormat="false" ht="15" hidden="false" customHeight="false" outlineLevel="0" collapsed="false">
      <c r="A23" s="1"/>
      <c r="B23" s="1"/>
      <c r="C23" s="1"/>
      <c r="D23" s="1"/>
      <c r="E23" s="1"/>
      <c r="F23" s="1"/>
      <c r="G23" s="1"/>
      <c r="H23" s="1"/>
      <c r="I23" s="1"/>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sheetData>
  <autoFilter ref="A3:I22"/>
  <conditionalFormatting sqref="B4:B22">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2">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2">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551</v>
      </c>
      <c r="B2" s="1"/>
      <c r="C2" s="1"/>
      <c r="D2" s="1"/>
      <c r="E2" s="1"/>
      <c r="F2" s="1"/>
      <c r="G2" s="1"/>
      <c r="H2" s="1"/>
      <c r="I2" s="1"/>
      <c r="J2" s="1"/>
      <c r="K2" s="1"/>
      <c r="L2" s="1"/>
      <c r="M2" s="1"/>
    </row>
    <row r="3" customFormat="false" ht="21.75" hidden="false" customHeight="true" outlineLevel="0" collapsed="false">
      <c r="A3" s="2" t="s">
        <v>0</v>
      </c>
      <c r="B3" s="2" t="s">
        <v>1</v>
      </c>
      <c r="C3" s="2" t="s">
        <v>2</v>
      </c>
      <c r="D3" s="2" t="s">
        <v>426</v>
      </c>
      <c r="E3" s="2" t="s">
        <v>427</v>
      </c>
      <c r="F3" s="2" t="s">
        <v>4</v>
      </c>
      <c r="G3" s="2" t="s">
        <v>381</v>
      </c>
      <c r="H3" s="2" t="s">
        <v>8</v>
      </c>
      <c r="I3" s="2" t="s">
        <v>9</v>
      </c>
      <c r="J3" s="1"/>
      <c r="K3" s="1"/>
      <c r="L3" s="1"/>
      <c r="M3" s="1"/>
    </row>
    <row r="4" customFormat="false" ht="15" hidden="false" customHeight="false" outlineLevel="0" collapsed="false">
      <c r="A4" s="3" t="s">
        <v>552</v>
      </c>
      <c r="B4" s="4" t="n">
        <v>90</v>
      </c>
      <c r="C4" s="5" t="str">
        <f aca="false">IF(B4="","Sin puntaje",IF(B4&gt;=90,"Obra maestra (90+)",IF(B4&gt;=80,"Muy bueno (80-89)",IF(B4&gt;=70,"Bueno (70-79)","Regular (&lt;70)"))))</f>
        <v>Obra maestra (90+)</v>
      </c>
      <c r="D4" s="33" t="n">
        <v>1991</v>
      </c>
      <c r="E4" s="6" t="s">
        <v>542</v>
      </c>
      <c r="F4" s="6" t="s">
        <v>13</v>
      </c>
      <c r="G4" s="6" t="s">
        <v>387</v>
      </c>
      <c r="H4" s="6" t="s">
        <v>553</v>
      </c>
      <c r="I4" s="7" t="str">
        <f aca="false">HYPERLINK("https://www.mobygames.com/game/turbografx-cd/lords-of-thunder/mobyrank","MobyGames TurboGrafx CD")</f>
        <v>MobyGames TurboGrafx CD</v>
      </c>
      <c r="J4" s="1"/>
      <c r="K4" s="1"/>
      <c r="L4" s="1"/>
      <c r="M4" s="1"/>
    </row>
    <row r="5" customFormat="false" ht="15" hidden="false" customHeight="false" outlineLevel="0" collapsed="false">
      <c r="A5" s="8" t="s">
        <v>554</v>
      </c>
      <c r="B5" s="9" t="n">
        <v>90</v>
      </c>
      <c r="C5" s="10" t="str">
        <f aca="false">IF(B5="","Sin puntaje",IF(B5&gt;=90,"Obra maestra (90+)",IF(B5&gt;=80,"Muy bueno (80-89)",IF(B5&gt;=70,"Bueno (70-79)","Regular (&lt;70)"))))</f>
        <v>Obra maestra (90+)</v>
      </c>
      <c r="D5" s="34" t="n">
        <v>1993</v>
      </c>
      <c r="E5" s="11" t="s">
        <v>433</v>
      </c>
      <c r="F5" s="11" t="s">
        <v>13</v>
      </c>
      <c r="G5" s="11" t="s">
        <v>387</v>
      </c>
      <c r="H5" s="11" t="s">
        <v>553</v>
      </c>
      <c r="I5" s="12" t="str">
        <f aca="false">HYPERLINK("https://www.mobygames.com/game/16246/castlevania-rondo-of-blood/reviews/turbografx-cd/","MobyGames TurboGrafx CD")</f>
        <v>MobyGames TurboGrafx CD</v>
      </c>
      <c r="J5" s="1"/>
      <c r="K5" s="1"/>
      <c r="L5" s="1"/>
      <c r="M5" s="1"/>
    </row>
    <row r="6" customFormat="false" ht="15" hidden="false" customHeight="false" outlineLevel="0" collapsed="false">
      <c r="A6" s="3" t="s">
        <v>555</v>
      </c>
      <c r="B6" s="4" t="n">
        <v>89</v>
      </c>
      <c r="C6" s="5" t="str">
        <f aca="false">IF(B6="","Sin puntaje",IF(B6&gt;=90,"Obra maestra (90+)",IF(B6&gt;=80,"Muy bueno (80-89)",IF(B6&gt;=70,"Bueno (70-79)","Regular (&lt;70)"))))</f>
        <v>Muy bueno (80-89)</v>
      </c>
      <c r="D6" s="33" t="n">
        <v>1989</v>
      </c>
      <c r="E6" s="6" t="s">
        <v>542</v>
      </c>
      <c r="F6" s="6" t="s">
        <v>13</v>
      </c>
      <c r="G6" s="6" t="s">
        <v>387</v>
      </c>
      <c r="H6" s="6"/>
      <c r="I6" s="7" t="str">
        <f aca="false">HYPERLINK("https://www.mobygames.com/game/17635/blazing-lazers/reviews/turbo-grafx/","MobyGames TurboGrafx-16")</f>
        <v>MobyGames TurboGrafx-16</v>
      </c>
      <c r="J6" s="1"/>
      <c r="K6" s="1"/>
      <c r="L6" s="1"/>
      <c r="M6" s="1"/>
    </row>
    <row r="7" customFormat="false" ht="15" hidden="false" customHeight="false" outlineLevel="0" collapsed="false">
      <c r="A7" s="8" t="s">
        <v>556</v>
      </c>
      <c r="B7" s="9" t="n">
        <v>88</v>
      </c>
      <c r="C7" s="10" t="str">
        <f aca="false">IF(B7="","Sin puntaje",IF(B7&gt;=90,"Obra maestra (90+)",IF(B7&gt;=80,"Muy bueno (80-89)",IF(B7&gt;=70,"Bueno (70-79)","Regular (&lt;70)"))))</f>
        <v>Muy bueno (80-89)</v>
      </c>
      <c r="D7" s="34" t="n">
        <v>1989</v>
      </c>
      <c r="E7" s="11" t="s">
        <v>471</v>
      </c>
      <c r="F7" s="11" t="s">
        <v>13</v>
      </c>
      <c r="G7" s="11" t="s">
        <v>387</v>
      </c>
      <c r="H7" s="11" t="s">
        <v>553</v>
      </c>
      <c r="I7" s="12" t="str">
        <f aca="false">HYPERLINK("https://www.mobygames.com/game/15971/ys-book-i-ii/reviews/turbografx-cd/","MobyGames TurboGrafx CD")</f>
        <v>MobyGames TurboGrafx CD</v>
      </c>
      <c r="J7" s="1"/>
      <c r="K7" s="1"/>
      <c r="L7" s="1"/>
      <c r="M7" s="1"/>
    </row>
    <row r="8" customFormat="false" ht="15" hidden="false" customHeight="false" outlineLevel="0" collapsed="false">
      <c r="A8" s="3" t="s">
        <v>557</v>
      </c>
      <c r="B8" s="4" t="n">
        <v>88</v>
      </c>
      <c r="C8" s="5" t="str">
        <f aca="false">IF(B8="","Sin puntaje",IF(B8&gt;=90,"Obra maestra (90+)",IF(B8&gt;=80,"Muy bueno (80-89)",IF(B8&gt;=70,"Bueno (70-79)","Regular (&lt;70)"))))</f>
        <v>Muy bueno (80-89)</v>
      </c>
      <c r="D8" s="33" t="n">
        <v>1992</v>
      </c>
      <c r="E8" s="6" t="s">
        <v>542</v>
      </c>
      <c r="F8" s="6" t="s">
        <v>13</v>
      </c>
      <c r="G8" s="6" t="s">
        <v>387</v>
      </c>
      <c r="H8" s="6" t="s">
        <v>553</v>
      </c>
      <c r="I8" s="7" t="str">
        <f aca="false">HYPERLINK("https://www.mobygames.com/game/turbografx-cd/gate-of-thunder/mobyrank","MobyGames TurboGrafx CD")</f>
        <v>MobyGames TurboGrafx CD</v>
      </c>
      <c r="J8" s="1"/>
      <c r="K8" s="1"/>
      <c r="L8" s="1"/>
      <c r="M8" s="1"/>
    </row>
    <row r="9" customFormat="false" ht="23.85" hidden="false" customHeight="false" outlineLevel="0" collapsed="false">
      <c r="A9" s="8" t="s">
        <v>558</v>
      </c>
      <c r="B9" s="9" t="n">
        <v>86</v>
      </c>
      <c r="C9" s="10" t="str">
        <f aca="false">IF(B9="","Sin puntaje",IF(B9&gt;=90,"Obra maestra (90+)",IF(B9&gt;=80,"Muy bueno (80-89)",IF(B9&gt;=70,"Bueno (70-79)","Regular (&lt;70)"))))</f>
        <v>Muy bueno (80-89)</v>
      </c>
      <c r="D9" s="34" t="n">
        <v>1991</v>
      </c>
      <c r="E9" s="11" t="s">
        <v>429</v>
      </c>
      <c r="F9" s="11" t="s">
        <v>13</v>
      </c>
      <c r="G9" s="11" t="s">
        <v>387</v>
      </c>
      <c r="H9" s="11"/>
      <c r="I9" s="12" t="str">
        <f aca="false">HYPERLINK("https://mobygames.com/game/wii-u/bonks-revenge","MobyGames TurboGrafx-16 · dudoso")</f>
        <v>MobyGames TurboGrafx-16 · dudoso</v>
      </c>
      <c r="J9" s="1"/>
      <c r="K9" s="1"/>
      <c r="L9" s="1"/>
      <c r="M9" s="1"/>
    </row>
    <row r="10" customFormat="false" ht="15" hidden="false" customHeight="false" outlineLevel="0" collapsed="false">
      <c r="A10" s="3" t="s">
        <v>559</v>
      </c>
      <c r="B10" s="4" t="n">
        <v>84</v>
      </c>
      <c r="C10" s="5" t="str">
        <f aca="false">IF(B10="","Sin puntaje",IF(B10&gt;=90,"Obra maestra (90+)",IF(B10&gt;=80,"Muy bueno (80-89)",IF(B10&gt;=70,"Bueno (70-79)","Regular (&lt;70)"))))</f>
        <v>Muy bueno (80-89)</v>
      </c>
      <c r="D10" s="33" t="n">
        <v>1992</v>
      </c>
      <c r="E10" s="6" t="s">
        <v>560</v>
      </c>
      <c r="F10" s="6" t="s">
        <v>13</v>
      </c>
      <c r="G10" s="6" t="s">
        <v>387</v>
      </c>
      <c r="H10" s="6"/>
      <c r="I10" s="7" t="str">
        <f aca="false">HYPERLINK("https://www.mobygames.com/game/16518/bomberman-93/reviews/turbo-grafx/","MobyGames TurboGrafx-16")</f>
        <v>MobyGames TurboGrafx-16</v>
      </c>
      <c r="J10" s="1"/>
      <c r="K10" s="1"/>
      <c r="L10" s="1"/>
      <c r="M10" s="1"/>
    </row>
    <row r="11" customFormat="false" ht="15" hidden="false" customHeight="false" outlineLevel="0" collapsed="false">
      <c r="A11" s="8" t="s">
        <v>561</v>
      </c>
      <c r="B11" s="9" t="n">
        <v>81</v>
      </c>
      <c r="C11" s="10" t="str">
        <f aca="false">IF(B11="","Sin puntaje",IF(B11&gt;=90,"Obra maestra (90+)",IF(B11&gt;=80,"Muy bueno (80-89)",IF(B11&gt;=70,"Bueno (70-79)","Regular (&lt;70)"))))</f>
        <v>Muy bueno (80-89)</v>
      </c>
      <c r="D11" s="34" t="n">
        <v>1989</v>
      </c>
      <c r="E11" s="11" t="s">
        <v>511</v>
      </c>
      <c r="F11" s="11" t="s">
        <v>13</v>
      </c>
      <c r="G11" s="11" t="s">
        <v>387</v>
      </c>
      <c r="H11" s="11"/>
      <c r="I11" s="12" t="str">
        <f aca="false">HYPERLINK("https://www.mobygames.com/game/turbo-grafx/military-madness","MobyGames TurboGrafx-16")</f>
        <v>MobyGames TurboGrafx-16</v>
      </c>
      <c r="J11" s="1"/>
      <c r="K11" s="1"/>
      <c r="L11" s="1"/>
      <c r="M11" s="1"/>
    </row>
    <row r="12" customFormat="false" ht="15" hidden="false" customHeight="false" outlineLevel="0" collapsed="false">
      <c r="A12" s="3" t="s">
        <v>562</v>
      </c>
      <c r="B12" s="4" t="n">
        <v>81</v>
      </c>
      <c r="C12" s="5" t="str">
        <f aca="false">IF(B12="","Sin puntaje",IF(B12&gt;=90,"Obra maestra (90+)",IF(B12&gt;=80,"Muy bueno (80-89)",IF(B12&gt;=70,"Bueno (70-79)","Regular (&lt;70)"))))</f>
        <v>Muy bueno (80-89)</v>
      </c>
      <c r="D12" s="33" t="n">
        <v>1992</v>
      </c>
      <c r="E12" s="6" t="s">
        <v>542</v>
      </c>
      <c r="F12" s="6" t="s">
        <v>13</v>
      </c>
      <c r="G12" s="6" t="s">
        <v>387</v>
      </c>
      <c r="H12" s="6"/>
      <c r="I12" s="7" t="str">
        <f aca="false">HYPERLINK("https://www.mobygames.com/game/turbo-grafx/soldier-blade","MobyGames TurboGrafx-16")</f>
        <v>MobyGames TurboGrafx-16</v>
      </c>
      <c r="J12" s="1"/>
      <c r="K12" s="1"/>
      <c r="L12" s="1"/>
      <c r="M12" s="1"/>
    </row>
    <row r="13" customFormat="false" ht="15" hidden="false" customHeight="false" outlineLevel="0" collapsed="false">
      <c r="A13" s="8" t="s">
        <v>563</v>
      </c>
      <c r="B13" s="9" t="n">
        <v>80</v>
      </c>
      <c r="C13" s="10" t="str">
        <f aca="false">IF(B13="","Sin puntaje",IF(B13&gt;=90,"Obra maestra (90+)",IF(B13&gt;=80,"Muy bueno (80-89)",IF(B13&gt;=70,"Bueno (70-79)","Regular (&lt;70)"))))</f>
        <v>Muy bueno (80-89)</v>
      </c>
      <c r="D13" s="34" t="n">
        <v>1989</v>
      </c>
      <c r="E13" s="11" t="s">
        <v>429</v>
      </c>
      <c r="F13" s="11" t="s">
        <v>13</v>
      </c>
      <c r="G13" s="11" t="s">
        <v>387</v>
      </c>
      <c r="H13" s="11"/>
      <c r="I13" s="12" t="str">
        <f aca="false">HYPERLINK("https://www.mobygames.com/game/12481/bonks-adventure/reviews/turbo-grafx/","MobyGames TurboGrafx-16")</f>
        <v>MobyGames TurboGrafx-16</v>
      </c>
      <c r="J13" s="1"/>
      <c r="K13" s="1"/>
      <c r="L13" s="1"/>
      <c r="M13" s="1"/>
    </row>
    <row r="14" customFormat="false" ht="15" hidden="false" customHeight="false" outlineLevel="0" collapsed="false">
      <c r="A14" s="3" t="s">
        <v>564</v>
      </c>
      <c r="B14" s="4" t="n">
        <v>78</v>
      </c>
      <c r="C14" s="5" t="str">
        <f aca="false">IF(B14="","Sin puntaje",IF(B14&gt;=90,"Obra maestra (90+)",IF(B14&gt;=80,"Muy bueno (80-89)",IF(B14&gt;=70,"Bueno (70-79)","Regular (&lt;70)"))))</f>
        <v>Bueno (70-79)</v>
      </c>
      <c r="D14" s="33" t="n">
        <v>1990</v>
      </c>
      <c r="E14" s="6" t="s">
        <v>538</v>
      </c>
      <c r="F14" s="6" t="s">
        <v>13</v>
      </c>
      <c r="G14" s="6" t="s">
        <v>387</v>
      </c>
      <c r="H14" s="6"/>
      <c r="I14" s="7" t="str">
        <f aca="false">HYPERLINK("https://www.mobygames.com/game/turbo-grafx/splatterhouse/mobyrank","MobyGames TurboGrafx-16")</f>
        <v>MobyGames TurboGrafx-16</v>
      </c>
      <c r="J14" s="1"/>
      <c r="K14" s="1"/>
      <c r="L14" s="1"/>
      <c r="M14" s="1"/>
    </row>
    <row r="15" customFormat="false" ht="23.85" hidden="false" customHeight="false" outlineLevel="0" collapsed="false">
      <c r="A15" s="8" t="s">
        <v>565</v>
      </c>
      <c r="B15" s="9" t="n">
        <v>73</v>
      </c>
      <c r="C15" s="10" t="str">
        <f aca="false">IF(B15="","Sin puntaje",IF(B15&gt;=90,"Obra maestra (90+)",IF(B15&gt;=80,"Muy bueno (80-89)",IF(B15&gt;=70,"Bueno (70-79)","Regular (&lt;70)"))))</f>
        <v>Bueno (70-79)</v>
      </c>
      <c r="D15" s="34" t="n">
        <v>1988</v>
      </c>
      <c r="E15" s="11" t="s">
        <v>491</v>
      </c>
      <c r="F15" s="11" t="s">
        <v>13</v>
      </c>
      <c r="G15" s="11" t="s">
        <v>387</v>
      </c>
      <c r="H15" s="11"/>
      <c r="I15" s="12" t="str">
        <f aca="false">HYPERLINK("https://www.mobygames.com/game/turbo-grafx/alien-crush/mobyrank","MobyGames TurboGrafx-16 · dudoso")</f>
        <v>MobyGames TurboGrafx-16 · dudoso</v>
      </c>
      <c r="J15" s="1"/>
      <c r="K15" s="1"/>
      <c r="L15" s="1"/>
      <c r="M15" s="1"/>
    </row>
    <row r="16" customFormat="false" ht="15" hidden="false" customHeight="false" outlineLevel="0" collapsed="false">
      <c r="A16" s="3" t="s">
        <v>566</v>
      </c>
      <c r="B16" s="4" t="n">
        <v>73</v>
      </c>
      <c r="C16" s="5" t="str">
        <f aca="false">IF(B16="","Sin puntaje",IF(B16&gt;=90,"Obra maestra (90+)",IF(B16&gt;=80,"Muy bueno (80-89)",IF(B16&gt;=70,"Bueno (70-79)","Regular (&lt;70)"))))</f>
        <v>Bueno (70-79)</v>
      </c>
      <c r="D16" s="33" t="n">
        <v>1989</v>
      </c>
      <c r="E16" s="6" t="s">
        <v>440</v>
      </c>
      <c r="F16" s="6" t="s">
        <v>13</v>
      </c>
      <c r="G16" s="6" t="s">
        <v>387</v>
      </c>
      <c r="H16" s="6"/>
      <c r="I16" s="7" t="str">
        <f aca="false">HYPERLINK("https://www.mobygames.com/game/15987/neutopia/","MobyGames TurboGrafx-16")</f>
        <v>MobyGames TurboGrafx-16</v>
      </c>
      <c r="J16" s="1"/>
      <c r="K16" s="1"/>
      <c r="L16" s="1"/>
      <c r="M16" s="1"/>
    </row>
    <row r="17" customFormat="false" ht="15" hidden="false" customHeight="false" outlineLevel="0" collapsed="false">
      <c r="A17" s="8" t="s">
        <v>567</v>
      </c>
      <c r="B17" s="9" t="n">
        <v>72</v>
      </c>
      <c r="C17" s="10" t="str">
        <f aca="false">IF(B17="","Sin puntaje",IF(B17&gt;=90,"Obra maestra (90+)",IF(B17&gt;=80,"Muy bueno (80-89)",IF(B17&gt;=70,"Bueno (70-79)","Regular (&lt;70)"))))</f>
        <v>Bueno (70-79)</v>
      </c>
      <c r="D17" s="34" t="n">
        <v>1989</v>
      </c>
      <c r="E17" s="11" t="s">
        <v>471</v>
      </c>
      <c r="F17" s="11" t="s">
        <v>13</v>
      </c>
      <c r="G17" s="11" t="s">
        <v>387</v>
      </c>
      <c r="H17" s="11"/>
      <c r="I17" s="12" t="str">
        <f aca="false">HYPERLINK("https://www.mobygames.com/game/32588/dungeon-explorer/","MobyGames TurboGrafx-16")</f>
        <v>MobyGames TurboGrafx-16</v>
      </c>
      <c r="J17" s="1"/>
      <c r="K17" s="1"/>
      <c r="L17" s="1"/>
      <c r="M17" s="1"/>
    </row>
    <row r="18" customFormat="false" ht="15" hidden="false" customHeight="false" outlineLevel="0" collapsed="false">
      <c r="A18" s="3" t="s">
        <v>568</v>
      </c>
      <c r="B18" s="4"/>
      <c r="C18" s="5" t="str">
        <f aca="false">IF(B18="","Sin puntaje",IF(B18&gt;=90,"Obra maestra (90+)",IF(B18&gt;=80,"Muy bueno (80-89)",IF(B18&gt;=70,"Bueno (70-79)","Regular (&lt;70)"))))</f>
        <v>Sin puntaje</v>
      </c>
      <c r="D18" s="33" t="n">
        <v>1988</v>
      </c>
      <c r="E18" s="6" t="s">
        <v>542</v>
      </c>
      <c r="F18" s="6" t="s">
        <v>13</v>
      </c>
      <c r="G18" s="6" t="s">
        <v>387</v>
      </c>
      <c r="H18" s="6"/>
      <c r="I18" s="13" t="s">
        <v>57</v>
      </c>
      <c r="J18" s="1"/>
      <c r="K18" s="1"/>
      <c r="L18" s="1"/>
      <c r="M18" s="1"/>
    </row>
    <row r="19" customFormat="false" ht="15" hidden="false" customHeight="false" outlineLevel="0" collapsed="false">
      <c r="A19" s="8" t="s">
        <v>569</v>
      </c>
      <c r="B19" s="9"/>
      <c r="C19" s="10" t="str">
        <f aca="false">IF(B19="","Sin puntaje",IF(B19&gt;=90,"Obra maestra (90+)",IF(B19&gt;=80,"Muy bueno (80-89)",IF(B19&gt;=70,"Bueno (70-79)","Regular (&lt;70)"))))</f>
        <v>Sin puntaje</v>
      </c>
      <c r="D19" s="34" t="n">
        <v>1991</v>
      </c>
      <c r="E19" s="11" t="s">
        <v>542</v>
      </c>
      <c r="F19" s="11" t="s">
        <v>13</v>
      </c>
      <c r="G19" s="11" t="s">
        <v>387</v>
      </c>
      <c r="H19" s="11" t="s">
        <v>553</v>
      </c>
      <c r="I19" s="14" t="s">
        <v>57</v>
      </c>
      <c r="J19" s="1"/>
      <c r="K19" s="1"/>
      <c r="L19" s="1"/>
      <c r="M19" s="1"/>
    </row>
    <row r="20" customFormat="false" ht="15" hidden="false" customHeight="false" outlineLevel="0" collapsed="false">
      <c r="A20" s="1"/>
      <c r="B20" s="1"/>
      <c r="C20" s="1"/>
      <c r="D20" s="1"/>
      <c r="E20" s="1"/>
      <c r="F20" s="1"/>
      <c r="G20" s="1"/>
      <c r="H20" s="1"/>
      <c r="I20" s="1"/>
      <c r="J20" s="1"/>
      <c r="K20" s="1"/>
      <c r="L20" s="1"/>
      <c r="M20" s="1"/>
    </row>
    <row r="21" customFormat="false" ht="15" hidden="false" customHeight="false" outlineLevel="0" collapsed="false">
      <c r="A21" s="1"/>
      <c r="B21" s="1"/>
      <c r="C21" s="1"/>
      <c r="D21" s="1"/>
      <c r="E21" s="1"/>
      <c r="F21" s="1"/>
      <c r="G21" s="1"/>
      <c r="H21" s="1"/>
      <c r="I21" s="1"/>
      <c r="J21" s="1"/>
      <c r="K21" s="1"/>
      <c r="L21" s="1"/>
      <c r="M21" s="1"/>
    </row>
    <row r="22" customFormat="false" ht="15" hidden="false" customHeight="false" outlineLevel="0" collapsed="false">
      <c r="A22" s="1"/>
      <c r="B22" s="1"/>
      <c r="C22" s="1"/>
      <c r="D22" s="1"/>
      <c r="E22" s="1"/>
      <c r="F22" s="1"/>
      <c r="G22" s="1"/>
      <c r="H22" s="1"/>
      <c r="I22" s="1"/>
      <c r="J22" s="1"/>
      <c r="K22" s="1"/>
      <c r="L22" s="1"/>
      <c r="M22" s="1"/>
    </row>
    <row r="23" customFormat="false" ht="15" hidden="false" customHeight="false" outlineLevel="0" collapsed="false">
      <c r="A23" s="1"/>
      <c r="B23" s="1"/>
      <c r="C23" s="1"/>
      <c r="D23" s="1"/>
      <c r="E23" s="1"/>
      <c r="F23" s="1"/>
      <c r="G23" s="1"/>
      <c r="H23" s="1"/>
      <c r="I23" s="1"/>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sheetData>
  <autoFilter ref="A3:I19"/>
  <conditionalFormatting sqref="B4:B19">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19">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19">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570</v>
      </c>
      <c r="B2" s="1"/>
      <c r="C2" s="1"/>
      <c r="D2" s="1"/>
      <c r="E2" s="1"/>
      <c r="F2" s="1"/>
      <c r="G2" s="1"/>
      <c r="H2" s="1"/>
      <c r="I2" s="1"/>
      <c r="J2" s="1"/>
      <c r="K2" s="1"/>
      <c r="L2" s="1"/>
      <c r="M2" s="1"/>
    </row>
    <row r="3" customFormat="false" ht="21.75" hidden="false" customHeight="true" outlineLevel="0" collapsed="false">
      <c r="A3" s="2" t="s">
        <v>0</v>
      </c>
      <c r="B3" s="2" t="s">
        <v>1</v>
      </c>
      <c r="C3" s="2" t="s">
        <v>2</v>
      </c>
      <c r="D3" s="2" t="s">
        <v>426</v>
      </c>
      <c r="E3" s="2" t="s">
        <v>427</v>
      </c>
      <c r="F3" s="2" t="s">
        <v>4</v>
      </c>
      <c r="G3" s="2" t="s">
        <v>381</v>
      </c>
      <c r="H3" s="2" t="s">
        <v>8</v>
      </c>
      <c r="I3" s="2" t="s">
        <v>9</v>
      </c>
      <c r="J3" s="1"/>
      <c r="K3" s="1"/>
      <c r="L3" s="1"/>
      <c r="M3" s="1"/>
    </row>
    <row r="4" customFormat="false" ht="15" hidden="false" customHeight="false" outlineLevel="0" collapsed="false">
      <c r="A4" s="3" t="s">
        <v>571</v>
      </c>
      <c r="B4" s="4" t="n">
        <v>86</v>
      </c>
      <c r="C4" s="5" t="str">
        <f aca="false">IF(B4="","Sin puntaje",IF(B4&gt;=90,"Obra maestra (90+)",IF(B4&gt;=80,"Muy bueno (80-89)",IF(B4&gt;=70,"Bueno (70-79)","Regular (&lt;70)"))))</f>
        <v>Muy bueno (80-89)</v>
      </c>
      <c r="D4" s="33" t="n">
        <v>1999</v>
      </c>
      <c r="E4" s="6" t="s">
        <v>465</v>
      </c>
      <c r="F4" s="6" t="s">
        <v>81</v>
      </c>
      <c r="G4" s="6" t="s">
        <v>388</v>
      </c>
      <c r="H4" s="6" t="s">
        <v>572</v>
      </c>
      <c r="I4" s="7" t="str">
        <f aca="false">HYPERLINK("https://vip-develop.primagames.com/?p=130607","Metacritic PS3 (Online Edition)")</f>
        <v>Metacritic PS3 (Online Edition)</v>
      </c>
      <c r="J4" s="1"/>
      <c r="K4" s="1"/>
      <c r="L4" s="1"/>
      <c r="M4" s="1"/>
    </row>
    <row r="5" customFormat="false" ht="23.85" hidden="false" customHeight="false" outlineLevel="0" collapsed="false">
      <c r="A5" s="8" t="s">
        <v>573</v>
      </c>
      <c r="B5" s="9" t="n">
        <v>84</v>
      </c>
      <c r="C5" s="10" t="str">
        <f aca="false">IF(B5="","Sin puntaje",IF(B5&gt;=90,"Obra maestra (90+)",IF(B5&gt;=80,"Muy bueno (80-89)",IF(B5&gt;=70,"Bueno (70-79)","Regular (&lt;70)"))))</f>
        <v>Muy bueno (80-89)</v>
      </c>
      <c r="D5" s="34" t="n">
        <v>1996</v>
      </c>
      <c r="E5" s="11" t="s">
        <v>431</v>
      </c>
      <c r="F5" s="11" t="s">
        <v>13</v>
      </c>
      <c r="G5" s="11" t="s">
        <v>388</v>
      </c>
      <c r="H5" s="11"/>
      <c r="I5" s="12" t="str">
        <f aca="false">HYPERLINK("https://www.mobygames.com/game/5005","MobyGames (todas las plataformas)")</f>
        <v>MobyGames (todas las plataformas)</v>
      </c>
      <c r="J5" s="1"/>
      <c r="K5" s="1"/>
      <c r="L5" s="1"/>
      <c r="M5" s="1"/>
    </row>
    <row r="6" customFormat="false" ht="23.85" hidden="false" customHeight="false" outlineLevel="0" collapsed="false">
      <c r="A6" s="3" t="s">
        <v>574</v>
      </c>
      <c r="B6" s="4" t="n">
        <v>84</v>
      </c>
      <c r="C6" s="5" t="str">
        <f aca="false">IF(B6="","Sin puntaje",IF(B6&gt;=90,"Obra maestra (90+)",IF(B6&gt;=80,"Muy bueno (80-89)",IF(B6&gt;=70,"Bueno (70-79)","Regular (&lt;70)"))))</f>
        <v>Muy bueno (80-89)</v>
      </c>
      <c r="D6" s="33" t="n">
        <v>1998</v>
      </c>
      <c r="E6" s="6" t="s">
        <v>542</v>
      </c>
      <c r="F6" s="6" t="s">
        <v>13</v>
      </c>
      <c r="G6" s="6" t="s">
        <v>388</v>
      </c>
      <c r="H6" s="6"/>
      <c r="I6" s="7" t="str">
        <f aca="false">HYPERLINK("https://www.dekudeals.com/items/aca-neogeo-blazing-star","Metacritic Switch (ACA NeoGeo)")</f>
        <v>Metacritic Switch (ACA NeoGeo)</v>
      </c>
      <c r="J6" s="1"/>
      <c r="K6" s="1"/>
      <c r="L6" s="1"/>
      <c r="M6" s="1"/>
    </row>
    <row r="7" customFormat="false" ht="23.85" hidden="false" customHeight="false" outlineLevel="0" collapsed="false">
      <c r="A7" s="8" t="s">
        <v>575</v>
      </c>
      <c r="B7" s="9" t="n">
        <v>80</v>
      </c>
      <c r="C7" s="10" t="str">
        <f aca="false">IF(B7="","Sin puntaje",IF(B7&gt;=90,"Obra maestra (90+)",IF(B7&gt;=80,"Muy bueno (80-89)",IF(B7&gt;=70,"Bueno (70-79)","Regular (&lt;70)"))))</f>
        <v>Muy bueno (80-89)</v>
      </c>
      <c r="D7" s="34" t="n">
        <v>1998</v>
      </c>
      <c r="E7" s="11" t="s">
        <v>465</v>
      </c>
      <c r="F7" s="11" t="s">
        <v>13</v>
      </c>
      <c r="G7" s="11" t="s">
        <v>388</v>
      </c>
      <c r="H7" s="11"/>
      <c r="I7" s="12" t="str">
        <f aca="false">HYPERLINK("https://mobygames.com/game/5036/the-last-blade-2","MobyGames (todas las plataformas)")</f>
        <v>MobyGames (todas las plataformas)</v>
      </c>
      <c r="J7" s="1"/>
      <c r="K7" s="1"/>
      <c r="L7" s="1"/>
      <c r="M7" s="1"/>
    </row>
    <row r="8" customFormat="false" ht="15" hidden="false" customHeight="false" outlineLevel="0" collapsed="false">
      <c r="A8" s="3" t="s">
        <v>576</v>
      </c>
      <c r="B8" s="4" t="n">
        <v>78</v>
      </c>
      <c r="C8" s="5" t="str">
        <f aca="false">IF(B8="","Sin puntaje",IF(B8&gt;=90,"Obra maestra (90+)",IF(B8&gt;=80,"Muy bueno (80-89)",IF(B8&gt;=70,"Bueno (70-79)","Regular (&lt;70)"))))</f>
        <v>Bueno (70-79)</v>
      </c>
      <c r="D8" s="33" t="n">
        <v>2000</v>
      </c>
      <c r="E8" s="6" t="s">
        <v>431</v>
      </c>
      <c r="F8" s="6" t="s">
        <v>13</v>
      </c>
      <c r="G8" s="6" t="s">
        <v>388</v>
      </c>
      <c r="H8" s="6"/>
      <c r="I8" s="7" t="str">
        <f aca="false">HYPERLINK("https://wikipedia.com/wiki/Metal_Slug_3","Metacritic Xbox 360 (XBLA)")</f>
        <v>Metacritic Xbox 360 (XBLA)</v>
      </c>
      <c r="J8" s="1"/>
      <c r="K8" s="1"/>
      <c r="L8" s="1"/>
      <c r="M8" s="1"/>
    </row>
    <row r="9" customFormat="false" ht="23.85" hidden="false" customHeight="false" outlineLevel="0" collapsed="false">
      <c r="A9" s="8" t="s">
        <v>577</v>
      </c>
      <c r="B9" s="9" t="n">
        <v>77</v>
      </c>
      <c r="C9" s="10" t="str">
        <f aca="false">IF(B9="","Sin puntaje",IF(B9&gt;=90,"Obra maestra (90+)",IF(B9&gt;=80,"Muy bueno (80-89)",IF(B9&gt;=70,"Bueno (70-79)","Regular (&lt;70)"))))</f>
        <v>Bueno (70-79)</v>
      </c>
      <c r="D9" s="34" t="n">
        <v>1999</v>
      </c>
      <c r="E9" s="11" t="s">
        <v>431</v>
      </c>
      <c r="F9" s="11" t="s">
        <v>13</v>
      </c>
      <c r="G9" s="11" t="s">
        <v>388</v>
      </c>
      <c r="H9" s="11"/>
      <c r="I9" s="12" t="str">
        <f aca="false">HYPERLINK("https://www.mobygames.com/game/4048","MobyGames (todas las plataformas) · dudoso")</f>
        <v>MobyGames (todas las plataformas) · dudoso</v>
      </c>
      <c r="J9" s="1"/>
      <c r="K9" s="1"/>
      <c r="L9" s="1"/>
      <c r="M9" s="1"/>
    </row>
    <row r="10" customFormat="false" ht="23.85" hidden="false" customHeight="false" outlineLevel="0" collapsed="false">
      <c r="A10" s="3" t="s">
        <v>578</v>
      </c>
      <c r="B10" s="4" t="n">
        <v>77</v>
      </c>
      <c r="C10" s="5" t="str">
        <f aca="false">IF(B10="","Sin puntaje",IF(B10&gt;=90,"Obra maestra (90+)",IF(B10&gt;=80,"Muy bueno (80-89)",IF(B10&gt;=70,"Bueno (70-79)","Regular (&lt;70)"))))</f>
        <v>Bueno (70-79)</v>
      </c>
      <c r="D10" s="33" t="n">
        <v>1999</v>
      </c>
      <c r="E10" s="6" t="s">
        <v>465</v>
      </c>
      <c r="F10" s="6" t="s">
        <v>13</v>
      </c>
      <c r="G10" s="6" t="s">
        <v>388</v>
      </c>
      <c r="H10" s="6"/>
      <c r="I10" s="7" t="str">
        <f aca="false">HYPERLINK("https://www.mydealz.de/deals/garou-mark-of-the-wolves-142eur-099eur-no-snk-prugelspiel-klassiker-xbox-one-xbox-series-xs-xbox-360-metacritic-77-82-2840047","Metacritic Xbox 360 (XBLA) · dudoso")</f>
        <v>Metacritic Xbox 360 (XBLA) · dudoso</v>
      </c>
      <c r="J10" s="1"/>
      <c r="K10" s="1"/>
      <c r="L10" s="1"/>
      <c r="M10" s="1"/>
    </row>
    <row r="11" customFormat="false" ht="15" hidden="false" customHeight="false" outlineLevel="0" collapsed="false">
      <c r="A11" s="8" t="s">
        <v>579</v>
      </c>
      <c r="B11" s="9"/>
      <c r="C11" s="10" t="str">
        <f aca="false">IF(B11="","Sin puntaje",IF(B11&gt;=90,"Obra maestra (90+)",IF(B11&gt;=80,"Muy bueno (80-89)",IF(B11&gt;=70,"Bueno (70-79)","Regular (&lt;70)"))))</f>
        <v>Sin puntaje</v>
      </c>
      <c r="D11" s="34" t="n">
        <v>1989</v>
      </c>
      <c r="E11" s="11" t="s">
        <v>538</v>
      </c>
      <c r="F11" s="11" t="s">
        <v>13</v>
      </c>
      <c r="G11" s="11" t="s">
        <v>388</v>
      </c>
      <c r="H11" s="11"/>
      <c r="I11" s="14" t="s">
        <v>57</v>
      </c>
      <c r="J11" s="1"/>
      <c r="K11" s="1"/>
      <c r="L11" s="1"/>
      <c r="M11" s="1"/>
    </row>
    <row r="12" customFormat="false" ht="15" hidden="false" customHeight="false" outlineLevel="0" collapsed="false">
      <c r="A12" s="3" t="s">
        <v>580</v>
      </c>
      <c r="B12" s="4"/>
      <c r="C12" s="5" t="str">
        <f aca="false">IF(B12="","Sin puntaje",IF(B12&gt;=90,"Obra maestra (90+)",IF(B12&gt;=80,"Muy bueno (80-89)",IF(B12&gt;=70,"Bueno (70-79)","Regular (&lt;70)"))))</f>
        <v>Sin puntaje</v>
      </c>
      <c r="D12" s="33" t="n">
        <v>1989</v>
      </c>
      <c r="E12" s="6" t="s">
        <v>538</v>
      </c>
      <c r="F12" s="6" t="s">
        <v>13</v>
      </c>
      <c r="G12" s="6" t="s">
        <v>388</v>
      </c>
      <c r="H12" s="6"/>
      <c r="I12" s="13" t="s">
        <v>57</v>
      </c>
      <c r="J12" s="1"/>
      <c r="K12" s="1"/>
      <c r="L12" s="1"/>
      <c r="M12" s="1"/>
    </row>
    <row r="13" customFormat="false" ht="15" hidden="false" customHeight="false" outlineLevel="0" collapsed="false">
      <c r="A13" s="8" t="s">
        <v>581</v>
      </c>
      <c r="B13" s="9"/>
      <c r="C13" s="10" t="str">
        <f aca="false">IF(B13="","Sin puntaje",IF(B13&gt;=90,"Obra maestra (90+)",IF(B13&gt;=80,"Muy bueno (80-89)",IF(B13&gt;=70,"Bueno (70-79)","Regular (&lt;70)"))))</f>
        <v>Sin puntaje</v>
      </c>
      <c r="D13" s="34" t="n">
        <v>1991</v>
      </c>
      <c r="E13" s="11" t="s">
        <v>538</v>
      </c>
      <c r="F13" s="11" t="s">
        <v>13</v>
      </c>
      <c r="G13" s="11" t="s">
        <v>388</v>
      </c>
      <c r="H13" s="11"/>
      <c r="I13" s="14" t="s">
        <v>57</v>
      </c>
      <c r="J13" s="1"/>
      <c r="K13" s="1"/>
      <c r="L13" s="1"/>
      <c r="M13" s="1"/>
    </row>
    <row r="14" customFormat="false" ht="15" hidden="false" customHeight="false" outlineLevel="0" collapsed="false">
      <c r="A14" s="3" t="s">
        <v>582</v>
      </c>
      <c r="B14" s="4"/>
      <c r="C14" s="5" t="str">
        <f aca="false">IF(B14="","Sin puntaje",IF(B14&gt;=90,"Obra maestra (90+)",IF(B14&gt;=80,"Muy bueno (80-89)",IF(B14&gt;=70,"Bueno (70-79)","Regular (&lt;70)"))))</f>
        <v>Sin puntaje</v>
      </c>
      <c r="D14" s="33" t="n">
        <v>1993</v>
      </c>
      <c r="E14" s="6" t="s">
        <v>538</v>
      </c>
      <c r="F14" s="6" t="s">
        <v>13</v>
      </c>
      <c r="G14" s="6" t="s">
        <v>388</v>
      </c>
      <c r="H14" s="6"/>
      <c r="I14" s="13" t="s">
        <v>57</v>
      </c>
      <c r="J14" s="1"/>
      <c r="K14" s="1"/>
      <c r="L14" s="1"/>
      <c r="M14" s="1"/>
    </row>
    <row r="15" customFormat="false" ht="15" hidden="false" customHeight="false" outlineLevel="0" collapsed="false">
      <c r="A15" s="8" t="s">
        <v>583</v>
      </c>
      <c r="B15" s="9"/>
      <c r="C15" s="10" t="str">
        <f aca="false">IF(B15="","Sin puntaje",IF(B15&gt;=90,"Obra maestra (90+)",IF(B15&gt;=80,"Muy bueno (80-89)",IF(B15&gt;=70,"Bueno (70-79)","Regular (&lt;70)"))))</f>
        <v>Sin puntaje</v>
      </c>
      <c r="D15" s="34" t="n">
        <v>1994</v>
      </c>
      <c r="E15" s="11" t="s">
        <v>465</v>
      </c>
      <c r="F15" s="11" t="s">
        <v>13</v>
      </c>
      <c r="G15" s="11" t="s">
        <v>388</v>
      </c>
      <c r="H15" s="11"/>
      <c r="I15" s="14" t="s">
        <v>57</v>
      </c>
      <c r="J15" s="1"/>
      <c r="K15" s="1"/>
      <c r="L15" s="1"/>
      <c r="M15" s="1"/>
    </row>
    <row r="16" customFormat="false" ht="15" hidden="false" customHeight="false" outlineLevel="0" collapsed="false">
      <c r="A16" s="3" t="s">
        <v>584</v>
      </c>
      <c r="B16" s="4"/>
      <c r="C16" s="5" t="str">
        <f aca="false">IF(B16="","Sin puntaje",IF(B16&gt;=90,"Obra maestra (90+)",IF(B16&gt;=80,"Muy bueno (80-89)",IF(B16&gt;=70,"Bueno (70-79)","Regular (&lt;70)"))))</f>
        <v>Sin puntaje</v>
      </c>
      <c r="D16" s="33" t="n">
        <v>1995</v>
      </c>
      <c r="E16" s="6" t="s">
        <v>542</v>
      </c>
      <c r="F16" s="6" t="s">
        <v>13</v>
      </c>
      <c r="G16" s="6" t="s">
        <v>388</v>
      </c>
      <c r="H16" s="6"/>
      <c r="I16" s="13" t="s">
        <v>57</v>
      </c>
      <c r="J16" s="1"/>
      <c r="K16" s="1"/>
      <c r="L16" s="1"/>
      <c r="M16" s="1"/>
    </row>
    <row r="17" customFormat="false" ht="15" hidden="false" customHeight="false" outlineLevel="0" collapsed="false">
      <c r="A17" s="8" t="s">
        <v>585</v>
      </c>
      <c r="B17" s="9"/>
      <c r="C17" s="10" t="str">
        <f aca="false">IF(B17="","Sin puntaje",IF(B17&gt;=90,"Obra maestra (90+)",IF(B17&gt;=80,"Muy bueno (80-89)",IF(B17&gt;=70,"Bueno (70-79)","Regular (&lt;70)"))))</f>
        <v>Sin puntaje</v>
      </c>
      <c r="D17" s="34" t="n">
        <v>1996</v>
      </c>
      <c r="E17" s="11" t="s">
        <v>586</v>
      </c>
      <c r="F17" s="11" t="s">
        <v>13</v>
      </c>
      <c r="G17" s="11" t="s">
        <v>388</v>
      </c>
      <c r="H17" s="11"/>
      <c r="I17" s="14" t="s">
        <v>57</v>
      </c>
      <c r="J17" s="1"/>
      <c r="K17" s="1"/>
      <c r="L17" s="1"/>
      <c r="M17" s="1"/>
    </row>
    <row r="18" customFormat="false" ht="15" hidden="false" customHeight="false" outlineLevel="0" collapsed="false">
      <c r="A18" s="3" t="s">
        <v>587</v>
      </c>
      <c r="B18" s="4"/>
      <c r="C18" s="5" t="str">
        <f aca="false">IF(B18="","Sin puntaje",IF(B18&gt;=90,"Obra maestra (90+)",IF(B18&gt;=80,"Muy bueno (80-89)",IF(B18&gt;=70,"Bueno (70-79)","Regular (&lt;70)"))))</f>
        <v>Sin puntaje</v>
      </c>
      <c r="D18" s="33" t="n">
        <v>1997</v>
      </c>
      <c r="E18" s="6" t="s">
        <v>431</v>
      </c>
      <c r="F18" s="6" t="s">
        <v>13</v>
      </c>
      <c r="G18" s="6" t="s">
        <v>388</v>
      </c>
      <c r="H18" s="6"/>
      <c r="I18" s="13" t="s">
        <v>57</v>
      </c>
      <c r="J18" s="1"/>
      <c r="K18" s="1"/>
      <c r="L18" s="1"/>
      <c r="M18" s="1"/>
    </row>
    <row r="19" customFormat="false" ht="15" hidden="false" customHeight="false" outlineLevel="0" collapsed="false">
      <c r="A19" s="8" t="s">
        <v>588</v>
      </c>
      <c r="B19" s="9"/>
      <c r="C19" s="10" t="str">
        <f aca="false">IF(B19="","Sin puntaje",IF(B19&gt;=90,"Obra maestra (90+)",IF(B19&gt;=80,"Muy bueno (80-89)",IF(B19&gt;=70,"Bueno (70-79)","Regular (&lt;70)"))))</f>
        <v>Sin puntaje</v>
      </c>
      <c r="D19" s="34" t="n">
        <v>1998</v>
      </c>
      <c r="E19" s="11" t="s">
        <v>465</v>
      </c>
      <c r="F19" s="11" t="s">
        <v>13</v>
      </c>
      <c r="G19" s="11" t="s">
        <v>388</v>
      </c>
      <c r="H19" s="11"/>
      <c r="I19" s="14" t="s">
        <v>57</v>
      </c>
      <c r="J19" s="1"/>
      <c r="K19" s="1"/>
      <c r="L19" s="1"/>
      <c r="M19" s="1"/>
    </row>
    <row r="20" customFormat="false" ht="15" hidden="false" customHeight="false" outlineLevel="0" collapsed="false">
      <c r="A20" s="3" t="s">
        <v>589</v>
      </c>
      <c r="B20" s="4"/>
      <c r="C20" s="5" t="str">
        <f aca="false">IF(B20="","Sin puntaje",IF(B20&gt;=90,"Obra maestra (90+)",IF(B20&gt;=80,"Muy bueno (80-89)",IF(B20&gt;=70,"Bueno (70-79)","Regular (&lt;70)"))))</f>
        <v>Sin puntaje</v>
      </c>
      <c r="D20" s="33" t="n">
        <v>1998</v>
      </c>
      <c r="E20" s="6" t="s">
        <v>465</v>
      </c>
      <c r="F20" s="6" t="s">
        <v>13</v>
      </c>
      <c r="G20" s="6" t="s">
        <v>388</v>
      </c>
      <c r="H20" s="6"/>
      <c r="I20" s="13" t="s">
        <v>57</v>
      </c>
      <c r="J20" s="1"/>
      <c r="K20" s="1"/>
      <c r="L20" s="1"/>
      <c r="M20" s="1"/>
    </row>
    <row r="21" customFormat="false" ht="15" hidden="false" customHeight="false" outlineLevel="0" collapsed="false">
      <c r="A21" s="8" t="s">
        <v>590</v>
      </c>
      <c r="B21" s="9"/>
      <c r="C21" s="10" t="str">
        <f aca="false">IF(B21="","Sin puntaje",IF(B21&gt;=90,"Obra maestra (90+)",IF(B21&gt;=80,"Muy bueno (80-89)",IF(B21&gt;=70,"Bueno (70-79)","Regular (&lt;70)"))))</f>
        <v>Sin puntaje</v>
      </c>
      <c r="D21" s="34" t="n">
        <v>1998</v>
      </c>
      <c r="E21" s="11" t="s">
        <v>465</v>
      </c>
      <c r="F21" s="11" t="s">
        <v>13</v>
      </c>
      <c r="G21" s="11" t="s">
        <v>388</v>
      </c>
      <c r="H21" s="11"/>
      <c r="I21" s="14" t="s">
        <v>57</v>
      </c>
      <c r="J21" s="1"/>
      <c r="K21" s="1"/>
      <c r="L21" s="1"/>
      <c r="M21" s="1"/>
    </row>
    <row r="22" customFormat="false" ht="15" hidden="false" customHeight="false" outlineLevel="0" collapsed="false">
      <c r="A22" s="3" t="s">
        <v>591</v>
      </c>
      <c r="B22" s="4"/>
      <c r="C22" s="5" t="str">
        <f aca="false">IF(B22="","Sin puntaje",IF(B22&gt;=90,"Obra maestra (90+)",IF(B22&gt;=80,"Muy bueno (80-89)",IF(B22&gt;=70,"Bueno (70-79)","Regular (&lt;70)"))))</f>
        <v>Sin puntaje</v>
      </c>
      <c r="D22" s="33" t="n">
        <v>1998</v>
      </c>
      <c r="E22" s="6" t="s">
        <v>465</v>
      </c>
      <c r="F22" s="6" t="s">
        <v>13</v>
      </c>
      <c r="G22" s="6" t="s">
        <v>388</v>
      </c>
      <c r="H22" s="6"/>
      <c r="I22" s="13" t="s">
        <v>57</v>
      </c>
      <c r="J22" s="1"/>
      <c r="K22" s="1"/>
      <c r="L22" s="1"/>
      <c r="M22" s="1"/>
    </row>
    <row r="23" customFormat="false" ht="15" hidden="false" customHeight="false" outlineLevel="0" collapsed="false">
      <c r="A23" s="8" t="s">
        <v>592</v>
      </c>
      <c r="B23" s="9"/>
      <c r="C23" s="10" t="str">
        <f aca="false">IF(B23="","Sin puntaje",IF(B23&gt;=90,"Obra maestra (90+)",IF(B23&gt;=80,"Muy bueno (80-89)",IF(B23&gt;=70,"Bueno (70-79)","Regular (&lt;70)"))))</f>
        <v>Sin puntaje</v>
      </c>
      <c r="D23" s="34" t="n">
        <v>2002</v>
      </c>
      <c r="E23" s="11" t="s">
        <v>465</v>
      </c>
      <c r="F23" s="11" t="s">
        <v>13</v>
      </c>
      <c r="G23" s="11" t="s">
        <v>388</v>
      </c>
      <c r="H23" s="11"/>
      <c r="I23" s="14" t="s">
        <v>57</v>
      </c>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sheetData>
  <autoFilter ref="A3:I23"/>
  <conditionalFormatting sqref="B4:B23">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3">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3">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593</v>
      </c>
      <c r="B2" s="1"/>
      <c r="C2" s="1"/>
      <c r="D2" s="1"/>
      <c r="E2" s="1"/>
      <c r="F2" s="1"/>
      <c r="G2" s="1"/>
      <c r="H2" s="1"/>
      <c r="I2" s="1"/>
      <c r="J2" s="1"/>
      <c r="K2" s="1"/>
      <c r="L2" s="1"/>
      <c r="M2" s="1"/>
    </row>
    <row r="3" customFormat="false" ht="21.75" hidden="false" customHeight="true" outlineLevel="0" collapsed="false">
      <c r="A3" s="2" t="s">
        <v>0</v>
      </c>
      <c r="B3" s="2" t="s">
        <v>1</v>
      </c>
      <c r="C3" s="2" t="s">
        <v>2</v>
      </c>
      <c r="D3" s="2" t="s">
        <v>426</v>
      </c>
      <c r="E3" s="2" t="s">
        <v>427</v>
      </c>
      <c r="F3" s="2" t="s">
        <v>4</v>
      </c>
      <c r="G3" s="2" t="s">
        <v>381</v>
      </c>
      <c r="H3" s="2" t="s">
        <v>8</v>
      </c>
      <c r="I3" s="2" t="s">
        <v>9</v>
      </c>
      <c r="J3" s="1"/>
      <c r="K3" s="1"/>
      <c r="L3" s="1"/>
      <c r="M3" s="1"/>
    </row>
    <row r="4" customFormat="false" ht="15" hidden="false" customHeight="false" outlineLevel="0" collapsed="false">
      <c r="A4" s="3" t="s">
        <v>594</v>
      </c>
      <c r="B4" s="4" t="n">
        <v>98</v>
      </c>
      <c r="C4" s="5" t="str">
        <f aca="false">IF(B4="","Sin puntaje",IF(B4&gt;=90,"Obra maestra (90+)",IF(B4&gt;=80,"Muy bueno (80-89)",IF(B4&gt;=70,"Bueno (70-79)","Regular (&lt;70)"))))</f>
        <v>Obra maestra (90+)</v>
      </c>
      <c r="D4" s="33" t="n">
        <v>2000</v>
      </c>
      <c r="E4" s="6" t="s">
        <v>506</v>
      </c>
      <c r="F4" s="6" t="s">
        <v>13</v>
      </c>
      <c r="G4" s="6" t="s">
        <v>389</v>
      </c>
      <c r="H4" s="6"/>
      <c r="I4" s="7" t="str">
        <f aca="false">HYPERLINK("https://www.metacritic.com/browse/game/ps1/","Metacritic PS1")</f>
        <v>Metacritic PS1</v>
      </c>
      <c r="J4" s="1"/>
      <c r="K4" s="1"/>
      <c r="L4" s="1"/>
      <c r="M4" s="1"/>
    </row>
    <row r="5" customFormat="false" ht="15" hidden="false" customHeight="false" outlineLevel="0" collapsed="false">
      <c r="A5" s="8" t="s">
        <v>595</v>
      </c>
      <c r="B5" s="9" t="n">
        <v>96</v>
      </c>
      <c r="C5" s="10" t="str">
        <f aca="false">IF(B5="","Sin puntaje",IF(B5&gt;=90,"Obra maestra (90+)",IF(B5&gt;=80,"Muy bueno (80-89)",IF(B5&gt;=70,"Bueno (70-79)","Regular (&lt;70)"))))</f>
        <v>Obra maestra (90+)</v>
      </c>
      <c r="D5" s="34" t="n">
        <v>1997</v>
      </c>
      <c r="E5" s="11" t="s">
        <v>461</v>
      </c>
      <c r="F5" s="11" t="s">
        <v>13</v>
      </c>
      <c r="G5" s="11" t="s">
        <v>389</v>
      </c>
      <c r="H5" s="11"/>
      <c r="I5" s="12" t="str">
        <f aca="false">HYPERLINK("https://www.svg.com/2226012/best-ps1-games-according-metacritic/","Metacritic PS1")</f>
        <v>Metacritic PS1</v>
      </c>
      <c r="J5" s="1"/>
      <c r="K5" s="1"/>
      <c r="L5" s="1"/>
      <c r="M5" s="1"/>
    </row>
    <row r="6" customFormat="false" ht="15" hidden="false" customHeight="false" outlineLevel="0" collapsed="false">
      <c r="A6" s="3" t="s">
        <v>596</v>
      </c>
      <c r="B6" s="4" t="n">
        <v>96</v>
      </c>
      <c r="C6" s="5" t="str">
        <f aca="false">IF(B6="","Sin puntaje",IF(B6&gt;=90,"Obra maestra (90+)",IF(B6&gt;=80,"Muy bueno (80-89)",IF(B6&gt;=70,"Bueno (70-79)","Regular (&lt;70)"))))</f>
        <v>Obra maestra (90+)</v>
      </c>
      <c r="D6" s="33" t="n">
        <v>1998</v>
      </c>
      <c r="E6" s="6" t="s">
        <v>465</v>
      </c>
      <c r="F6" s="6" t="s">
        <v>13</v>
      </c>
      <c r="G6" s="6" t="s">
        <v>389</v>
      </c>
      <c r="H6" s="6"/>
      <c r="I6" s="7" t="str">
        <f aca="false">HYPERLINK("https://www.thegamer.com/greatest-playstation-one-fighting-games-metacritic-scores/","Metacritic PS1")</f>
        <v>Metacritic PS1</v>
      </c>
      <c r="J6" s="1"/>
      <c r="K6" s="1"/>
      <c r="L6" s="1"/>
      <c r="M6" s="1"/>
    </row>
    <row r="7" customFormat="false" ht="15" hidden="false" customHeight="false" outlineLevel="0" collapsed="false">
      <c r="A7" s="8" t="s">
        <v>243</v>
      </c>
      <c r="B7" s="9" t="n">
        <v>94</v>
      </c>
      <c r="C7" s="10" t="str">
        <f aca="false">IF(B7="","Sin puntaje",IF(B7&gt;=90,"Obra maestra (90+)",IF(B7&gt;=80,"Muy bueno (80-89)",IF(B7&gt;=70,"Bueno (70-79)","Regular (&lt;70)"))))</f>
        <v>Obra maestra (90+)</v>
      </c>
      <c r="D7" s="34" t="n">
        <v>1998</v>
      </c>
      <c r="E7" s="11" t="s">
        <v>597</v>
      </c>
      <c r="F7" s="11" t="s">
        <v>13</v>
      </c>
      <c r="G7" s="11" t="s">
        <v>389</v>
      </c>
      <c r="H7" s="11" t="s">
        <v>244</v>
      </c>
      <c r="I7" s="12" t="str">
        <f aca="false">HYPERLINK("https://www.metacritic.com/browse/game/ps1/","Metacritic PS1")</f>
        <v>Metacritic PS1</v>
      </c>
      <c r="J7" s="1"/>
      <c r="K7" s="1"/>
      <c r="L7" s="1"/>
      <c r="M7" s="1"/>
    </row>
    <row r="8" customFormat="false" ht="15" hidden="false" customHeight="false" outlineLevel="0" collapsed="false">
      <c r="A8" s="3" t="s">
        <v>245</v>
      </c>
      <c r="B8" s="4" t="n">
        <v>94</v>
      </c>
      <c r="C8" s="5" t="str">
        <f aca="false">IF(B8="","Sin puntaje",IF(B8&gt;=90,"Obra maestra (90+)",IF(B8&gt;=80,"Muy bueno (80-89)",IF(B8&gt;=70,"Bueno (70-79)","Regular (&lt;70)"))))</f>
        <v>Obra maestra (90+)</v>
      </c>
      <c r="D8" s="33" t="n">
        <v>1999</v>
      </c>
      <c r="E8" s="6" t="s">
        <v>447</v>
      </c>
      <c r="F8" s="6" t="s">
        <v>13</v>
      </c>
      <c r="G8" s="6" t="s">
        <v>389</v>
      </c>
      <c r="H8" s="6" t="s">
        <v>244</v>
      </c>
      <c r="I8" s="7" t="str">
        <f aca="false">HYPERLINK("https://www.metacritic.com/browse/game/ps1/","Metacritic PS1")</f>
        <v>Metacritic PS1</v>
      </c>
      <c r="J8" s="1"/>
      <c r="K8" s="1"/>
      <c r="L8" s="1"/>
      <c r="M8" s="1"/>
    </row>
    <row r="9" customFormat="false" ht="15" hidden="false" customHeight="false" outlineLevel="0" collapsed="false">
      <c r="A9" s="8" t="s">
        <v>598</v>
      </c>
      <c r="B9" s="9" t="n">
        <v>94</v>
      </c>
      <c r="C9" s="10" t="str">
        <f aca="false">IF(B9="","Sin puntaje",IF(B9&gt;=90,"Obra maestra (90+)",IF(B9&gt;=80,"Muy bueno (80-89)",IF(B9&gt;=70,"Bueno (70-79)","Regular (&lt;70)"))))</f>
        <v>Obra maestra (90+)</v>
      </c>
      <c r="D9" s="34" t="n">
        <v>1999</v>
      </c>
      <c r="E9" s="11" t="s">
        <v>599</v>
      </c>
      <c r="F9" s="11" t="s">
        <v>13</v>
      </c>
      <c r="G9" s="11" t="s">
        <v>389</v>
      </c>
      <c r="H9" s="11"/>
      <c r="I9" s="12" t="str">
        <f aca="false">HYPERLINK("https://www.metacritic.com/browse/game/ps1/","Metacritic PS1")</f>
        <v>Metacritic PS1</v>
      </c>
      <c r="J9" s="1"/>
      <c r="K9" s="1"/>
      <c r="L9" s="1"/>
      <c r="M9" s="1"/>
    </row>
    <row r="10" customFormat="false" ht="15" hidden="false" customHeight="false" outlineLevel="0" collapsed="false">
      <c r="A10" s="3" t="s">
        <v>238</v>
      </c>
      <c r="B10" s="4" t="n">
        <v>94</v>
      </c>
      <c r="C10" s="5" t="str">
        <f aca="false">IF(B10="","Sin puntaje",IF(B10&gt;=90,"Obra maestra (90+)",IF(B10&gt;=80,"Muy bueno (80-89)",IF(B10&gt;=70,"Bueno (70-79)","Regular (&lt;70)"))))</f>
        <v>Obra maestra (90+)</v>
      </c>
      <c r="D10" s="33" t="n">
        <v>2000</v>
      </c>
      <c r="E10" s="6" t="s">
        <v>447</v>
      </c>
      <c r="F10" s="6" t="s">
        <v>13</v>
      </c>
      <c r="G10" s="6" t="s">
        <v>389</v>
      </c>
      <c r="H10" s="6" t="s">
        <v>242</v>
      </c>
      <c r="I10" s="7" t="str">
        <f aca="false">HYPERLINK("https://www.metacritic.com/browse/game/ps1/","Metacritic PS1")</f>
        <v>Metacritic PS1</v>
      </c>
      <c r="J10" s="1"/>
      <c r="K10" s="1"/>
      <c r="L10" s="1"/>
      <c r="M10" s="1"/>
    </row>
    <row r="11" customFormat="false" ht="15" hidden="false" customHeight="false" outlineLevel="0" collapsed="false">
      <c r="A11" s="8" t="s">
        <v>600</v>
      </c>
      <c r="B11" s="9" t="n">
        <v>93</v>
      </c>
      <c r="C11" s="10" t="str">
        <f aca="false">IF(B11="","Sin puntaje",IF(B11&gt;=90,"Obra maestra (90+)",IF(B11&gt;=80,"Muy bueno (80-89)",IF(B11&gt;=70,"Bueno (70-79)","Regular (&lt;70)"))))</f>
        <v>Obra maestra (90+)</v>
      </c>
      <c r="D11" s="34" t="n">
        <v>1996</v>
      </c>
      <c r="E11" s="11" t="s">
        <v>461</v>
      </c>
      <c r="F11" s="11" t="s">
        <v>13</v>
      </c>
      <c r="G11" s="11" t="s">
        <v>389</v>
      </c>
      <c r="H11" s="11"/>
      <c r="I11" s="12" t="str">
        <f aca="false">HYPERLINK("https://www.metacritic.com/browse/game/ps1/","Metacritic PS1")</f>
        <v>Metacritic PS1</v>
      </c>
      <c r="J11" s="1"/>
      <c r="K11" s="1"/>
      <c r="L11" s="1"/>
      <c r="M11" s="1"/>
    </row>
    <row r="12" customFormat="false" ht="15" hidden="false" customHeight="false" outlineLevel="0" collapsed="false">
      <c r="A12" s="3" t="s">
        <v>246</v>
      </c>
      <c r="B12" s="4" t="n">
        <v>93</v>
      </c>
      <c r="C12" s="5" t="str">
        <f aca="false">IF(B12="","Sin puntaje",IF(B12&gt;=90,"Obra maestra (90+)",IF(B12&gt;=80,"Muy bueno (80-89)",IF(B12&gt;=70,"Bueno (70-79)","Regular (&lt;70)"))))</f>
        <v>Obra maestra (90+)</v>
      </c>
      <c r="D12" s="33" t="n">
        <v>1997</v>
      </c>
      <c r="E12" s="6" t="s">
        <v>449</v>
      </c>
      <c r="F12" s="6" t="s">
        <v>13</v>
      </c>
      <c r="G12" s="6" t="s">
        <v>389</v>
      </c>
      <c r="H12" s="6"/>
      <c r="I12" s="7" t="str">
        <f aca="false">HYPERLINK("https://www.metacritic.com/browse/game/ps1/","Metacritic PS1")</f>
        <v>Metacritic PS1</v>
      </c>
      <c r="J12" s="1"/>
      <c r="K12" s="1"/>
      <c r="L12" s="1"/>
      <c r="M12" s="1"/>
    </row>
    <row r="13" customFormat="false" ht="15" hidden="false" customHeight="false" outlineLevel="0" collapsed="false">
      <c r="A13" s="8" t="s">
        <v>601</v>
      </c>
      <c r="B13" s="9" t="n">
        <v>93</v>
      </c>
      <c r="C13" s="10" t="str">
        <f aca="false">IF(B13="","Sin puntaje",IF(B13&gt;=90,"Obra maestra (90+)",IF(B13&gt;=80,"Muy bueno (80-89)",IF(B13&gt;=70,"Bueno (70-79)","Regular (&lt;70)"))))</f>
        <v>Obra maestra (90+)</v>
      </c>
      <c r="D13" s="34" t="n">
        <v>1999</v>
      </c>
      <c r="E13" s="11" t="s">
        <v>465</v>
      </c>
      <c r="F13" s="11" t="s">
        <v>13</v>
      </c>
      <c r="G13" s="11" t="s">
        <v>389</v>
      </c>
      <c r="H13" s="11"/>
      <c r="I13" s="12" t="str">
        <f aca="false">HYPERLINK("https://www.metacritic.com/browse/game/ps1/","Metacritic PS1")</f>
        <v>Metacritic PS1</v>
      </c>
      <c r="J13" s="1"/>
      <c r="K13" s="1"/>
      <c r="L13" s="1"/>
      <c r="M13" s="1"/>
    </row>
    <row r="14" customFormat="false" ht="15" hidden="false" customHeight="false" outlineLevel="0" collapsed="false">
      <c r="A14" s="3" t="s">
        <v>602</v>
      </c>
      <c r="B14" s="4" t="n">
        <v>93</v>
      </c>
      <c r="C14" s="5" t="str">
        <f aca="false">IF(B14="","Sin puntaje",IF(B14&gt;=90,"Obra maestra (90+)",IF(B14&gt;=80,"Muy bueno (80-89)",IF(B14&gt;=70,"Bueno (70-79)","Regular (&lt;70)"))))</f>
        <v>Obra maestra (90+)</v>
      </c>
      <c r="D14" s="33" t="n">
        <v>1999</v>
      </c>
      <c r="E14" s="6" t="s">
        <v>461</v>
      </c>
      <c r="F14" s="6" t="s">
        <v>13</v>
      </c>
      <c r="G14" s="6" t="s">
        <v>389</v>
      </c>
      <c r="H14" s="6" t="s">
        <v>244</v>
      </c>
      <c r="I14" s="7" t="str">
        <f aca="false">HYPERLINK("https://rawg.io/games/gran-turismo-2","Metacritic PS1")</f>
        <v>Metacritic PS1</v>
      </c>
      <c r="J14" s="1"/>
      <c r="K14" s="1"/>
      <c r="L14" s="1"/>
      <c r="M14" s="1"/>
    </row>
    <row r="15" customFormat="false" ht="15" hidden="false" customHeight="false" outlineLevel="0" collapsed="false">
      <c r="A15" s="8" t="s">
        <v>31</v>
      </c>
      <c r="B15" s="9" t="n">
        <v>92</v>
      </c>
      <c r="C15" s="10" t="str">
        <f aca="false">IF(B15="","Sin puntaje",IF(B15&gt;=90,"Obra maestra (90+)",IF(B15&gt;=80,"Muy bueno (80-89)",IF(B15&gt;=70,"Bueno (70-79)","Regular (&lt;70)"))))</f>
        <v>Obra maestra (90+)</v>
      </c>
      <c r="D15" s="34" t="n">
        <v>1997</v>
      </c>
      <c r="E15" s="11" t="s">
        <v>447</v>
      </c>
      <c r="F15" s="11" t="s">
        <v>13</v>
      </c>
      <c r="G15" s="11" t="s">
        <v>603</v>
      </c>
      <c r="H15" s="11" t="s">
        <v>34</v>
      </c>
      <c r="I15" s="12" t="str">
        <f aca="false">HYPERLINK("https://itc.ua/en/news/final-fantasy-vii-rebirth-became-the-second-game-in-the-series-according-to-metacritic-rating","Metacritic PS1")</f>
        <v>Metacritic PS1</v>
      </c>
      <c r="J15" s="1"/>
      <c r="K15" s="1"/>
      <c r="L15" s="1"/>
      <c r="M15" s="1"/>
    </row>
    <row r="16" customFormat="false" ht="15" hidden="false" customHeight="false" outlineLevel="0" collapsed="false">
      <c r="A16" s="3" t="s">
        <v>249</v>
      </c>
      <c r="B16" s="4" t="n">
        <v>92</v>
      </c>
      <c r="C16" s="5" t="str">
        <f aca="false">IF(B16="","Sin puntaje",IF(B16&gt;=90,"Obra maestra (90+)",IF(B16&gt;=80,"Muy bueno (80-89)",IF(B16&gt;=70,"Bueno (70-79)","Regular (&lt;70)"))))</f>
        <v>Obra maestra (90+)</v>
      </c>
      <c r="D16" s="33" t="n">
        <v>2000</v>
      </c>
      <c r="E16" s="6" t="s">
        <v>471</v>
      </c>
      <c r="F16" s="6" t="s">
        <v>13</v>
      </c>
      <c r="G16" s="6" t="s">
        <v>389</v>
      </c>
      <c r="H16" s="6"/>
      <c r="I16" s="7" t="str">
        <f aca="false">HYPERLINK("https://www.metacritic.com/browse/game/ps1/","Metacritic PS1")</f>
        <v>Metacritic PS1</v>
      </c>
      <c r="J16" s="1"/>
      <c r="K16" s="1"/>
      <c r="L16" s="1"/>
      <c r="M16" s="1"/>
    </row>
    <row r="17" customFormat="false" ht="15" hidden="false" customHeight="false" outlineLevel="0" collapsed="false">
      <c r="A17" s="8" t="s">
        <v>604</v>
      </c>
      <c r="B17" s="9" t="n">
        <v>91</v>
      </c>
      <c r="C17" s="10" t="str">
        <f aca="false">IF(B17="","Sin puntaje",IF(B17&gt;=90,"Obra maestra (90+)",IF(B17&gt;=80,"Muy bueno (80-89)",IF(B17&gt;=70,"Bueno (70-79)","Regular (&lt;70)"))))</f>
        <v>Obra maestra (90+)</v>
      </c>
      <c r="D17" s="34" t="n">
        <v>1999</v>
      </c>
      <c r="E17" s="11" t="s">
        <v>605</v>
      </c>
      <c r="F17" s="11" t="s">
        <v>13</v>
      </c>
      <c r="G17" s="11" t="s">
        <v>389</v>
      </c>
      <c r="H17" s="11"/>
      <c r="I17" s="12" t="str">
        <f aca="false">HYPERLINK("https://www.gamepro.de/artikel/91-punkte-metacritic-27-jahre-alter-ps1-klassiker-ps5-remaster-guenstig,3450892.html","Metacritic PS1")</f>
        <v>Metacritic PS1</v>
      </c>
      <c r="J17" s="1"/>
      <c r="K17" s="1"/>
      <c r="L17" s="1"/>
      <c r="M17" s="1"/>
    </row>
    <row r="18" customFormat="false" ht="15" hidden="false" customHeight="false" outlineLevel="0" collapsed="false">
      <c r="A18" s="3" t="s">
        <v>606</v>
      </c>
      <c r="B18" s="4" t="n">
        <v>90</v>
      </c>
      <c r="C18" s="5" t="str">
        <f aca="false">IF(B18="","Sin puntaje",IF(B18&gt;=90,"Obra maestra (90+)",IF(B18&gt;=80,"Muy bueno (80-89)",IF(B18&gt;=70,"Bueno (70-79)","Regular (&lt;70)"))))</f>
        <v>Obra maestra (90+)</v>
      </c>
      <c r="D18" s="33" t="n">
        <v>1999</v>
      </c>
      <c r="E18" s="6" t="s">
        <v>429</v>
      </c>
      <c r="F18" s="6" t="s">
        <v>13</v>
      </c>
      <c r="G18" s="6" t="s">
        <v>389</v>
      </c>
      <c r="H18" s="6" t="s">
        <v>607</v>
      </c>
      <c r="I18" s="7" t="str">
        <f aca="false">HYPERLINK("https://www.gamespot.com/ape-escape/","Metacritic PS1")</f>
        <v>Metacritic PS1</v>
      </c>
      <c r="J18" s="1"/>
      <c r="K18" s="1"/>
      <c r="L18" s="1"/>
      <c r="M18" s="1"/>
    </row>
    <row r="19" customFormat="false" ht="15" hidden="false" customHeight="false" outlineLevel="0" collapsed="false">
      <c r="A19" s="8" t="s">
        <v>256</v>
      </c>
      <c r="B19" s="9" t="n">
        <v>90</v>
      </c>
      <c r="C19" s="10" t="str">
        <f aca="false">IF(B19="","Sin puntaje",IF(B19&gt;=90,"Obra maestra (90+)",IF(B19&gt;=80,"Muy bueno (80-89)",IF(B19&gt;=70,"Bueno (70-79)","Regular (&lt;70)"))))</f>
        <v>Obra maestra (90+)</v>
      </c>
      <c r="D19" s="34" t="n">
        <v>1999</v>
      </c>
      <c r="E19" s="11" t="s">
        <v>447</v>
      </c>
      <c r="F19" s="11" t="s">
        <v>13</v>
      </c>
      <c r="G19" s="11" t="s">
        <v>389</v>
      </c>
      <c r="H19" s="11" t="s">
        <v>242</v>
      </c>
      <c r="I19" s="12" t="str">
        <f aca="false">HYPERLINK("https://ffunionvids.substack.com/p/wark-digest-144-reborn-revitalized","Metacritic PS1 · dudoso")</f>
        <v>Metacritic PS1 · dudoso</v>
      </c>
      <c r="J19" s="1"/>
      <c r="K19" s="1"/>
      <c r="L19" s="1"/>
      <c r="M19" s="1"/>
    </row>
    <row r="20" customFormat="false" ht="15" hidden="false" customHeight="false" outlineLevel="0" collapsed="false">
      <c r="A20" s="3" t="s">
        <v>608</v>
      </c>
      <c r="B20" s="4" t="n">
        <v>89</v>
      </c>
      <c r="C20" s="5" t="str">
        <f aca="false">IF(B20="","Sin puntaje",IF(B20&gt;=90,"Obra maestra (90+)",IF(B20&gt;=80,"Muy bueno (80-89)",IF(B20&gt;=70,"Bueno (70-79)","Regular (&lt;70)"))))</f>
        <v>Muy bueno (80-89)</v>
      </c>
      <c r="D20" s="33" t="n">
        <v>1998</v>
      </c>
      <c r="E20" s="6" t="s">
        <v>609</v>
      </c>
      <c r="F20" s="6" t="s">
        <v>13</v>
      </c>
      <c r="G20" s="6" t="s">
        <v>389</v>
      </c>
      <c r="H20" s="6" t="s">
        <v>244</v>
      </c>
      <c r="I20" s="7" t="str">
        <f aca="false">HYPERLINK("https://www.dualshockers.com/resident-evil-2-25th-anniversary/","Metacritic PS1")</f>
        <v>Metacritic PS1</v>
      </c>
      <c r="J20" s="1"/>
      <c r="K20" s="1"/>
      <c r="L20" s="1"/>
      <c r="M20" s="1"/>
    </row>
    <row r="21" customFormat="false" ht="15" hidden="false" customHeight="false" outlineLevel="0" collapsed="false">
      <c r="A21" s="8" t="s">
        <v>610</v>
      </c>
      <c r="B21" s="9" t="n">
        <v>88</v>
      </c>
      <c r="C21" s="10" t="str">
        <f aca="false">IF(B21="","Sin puntaje",IF(B21&gt;=90,"Obra maestra (90+)",IF(B21&gt;=80,"Muy bueno (80-89)",IF(B21&gt;=70,"Bueno (70-79)","Regular (&lt;70)"))))</f>
        <v>Muy bueno (80-89)</v>
      </c>
      <c r="D21" s="34" t="n">
        <v>1999</v>
      </c>
      <c r="E21" s="11" t="s">
        <v>461</v>
      </c>
      <c r="F21" s="11" t="s">
        <v>13</v>
      </c>
      <c r="G21" s="11" t="s">
        <v>389</v>
      </c>
      <c r="H21" s="11"/>
      <c r="I21" s="12" t="str">
        <f aca="false">HYPERLINK("https://www.thegamer.com/crash-team-racing-definitely-make-comeback-game-awards/","Metacritic PS1")</f>
        <v>Metacritic PS1</v>
      </c>
      <c r="J21" s="1"/>
      <c r="K21" s="1"/>
      <c r="L21" s="1"/>
      <c r="M21" s="1"/>
    </row>
    <row r="22" customFormat="false" ht="15" hidden="false" customHeight="false" outlineLevel="0" collapsed="false">
      <c r="A22" s="3" t="s">
        <v>258</v>
      </c>
      <c r="B22" s="4" t="n">
        <v>86</v>
      </c>
      <c r="C22" s="5" t="str">
        <f aca="false">IF(B22="","Sin puntaje",IF(B22&gt;=90,"Obra maestra (90+)",IF(B22&gt;=80,"Muy bueno (80-89)",IF(B22&gt;=70,"Bueno (70-79)","Regular (&lt;70)"))))</f>
        <v>Muy bueno (80-89)</v>
      </c>
      <c r="D22" s="33" t="n">
        <v>1999</v>
      </c>
      <c r="E22" s="6" t="s">
        <v>609</v>
      </c>
      <c r="F22" s="6" t="s">
        <v>13</v>
      </c>
      <c r="G22" s="6" t="s">
        <v>389</v>
      </c>
      <c r="H22" s="6"/>
      <c r="I22" s="7" t="str">
        <f aca="false">HYPERLINK("https://tech.yahoo.com/gaming/articles/silent-hill-fs-metacritic-score-140851246.html","Metacritic PS1")</f>
        <v>Metacritic PS1</v>
      </c>
      <c r="J22" s="1"/>
      <c r="K22" s="1"/>
      <c r="L22" s="1"/>
      <c r="M22" s="1"/>
    </row>
    <row r="23" customFormat="false" ht="15" hidden="false" customHeight="false" outlineLevel="0" collapsed="false">
      <c r="A23" s="8" t="s">
        <v>611</v>
      </c>
      <c r="B23" s="9" t="n">
        <v>85</v>
      </c>
      <c r="C23" s="10" t="str">
        <f aca="false">IF(B23="","Sin puntaje",IF(B23&gt;=90,"Obra maestra (90+)",IF(B23&gt;=80,"Muy bueno (80-89)",IF(B23&gt;=70,"Bueno (70-79)","Regular (&lt;70)"))))</f>
        <v>Muy bueno (80-89)</v>
      </c>
      <c r="D23" s="34" t="n">
        <v>1998</v>
      </c>
      <c r="E23" s="11" t="s">
        <v>429</v>
      </c>
      <c r="F23" s="11" t="s">
        <v>13</v>
      </c>
      <c r="G23" s="11" t="s">
        <v>389</v>
      </c>
      <c r="H23" s="11"/>
      <c r="I23" s="12" t="str">
        <f aca="false">HYPERLINK("https://www.everyeye.it/notizie/spyro-the-dragon-qual-gioco-bello-ps1-classifica-715031.html","GameRankings PS1")</f>
        <v>GameRankings PS1</v>
      </c>
      <c r="J23" s="1"/>
      <c r="K23" s="1"/>
      <c r="L23" s="1"/>
      <c r="M23" s="1"/>
    </row>
    <row r="24" customFormat="false" ht="15" hidden="false" customHeight="false" outlineLevel="0" collapsed="false">
      <c r="A24" s="3" t="s">
        <v>260</v>
      </c>
      <c r="B24" s="4" t="n">
        <v>83</v>
      </c>
      <c r="C24" s="5" t="str">
        <f aca="false">IF(B24="","Sin puntaje",IF(B24&gt;=90,"Obra maestra (90+)",IF(B24&gt;=80,"Muy bueno (80-89)",IF(B24&gt;=70,"Bueno (70-79)","Regular (&lt;70)"))))</f>
        <v>Muy bueno (80-89)</v>
      </c>
      <c r="D24" s="33" t="n">
        <v>1997</v>
      </c>
      <c r="E24" s="6" t="s">
        <v>511</v>
      </c>
      <c r="F24" s="6" t="s">
        <v>13</v>
      </c>
      <c r="G24" s="6" t="s">
        <v>389</v>
      </c>
      <c r="H24" s="6"/>
      <c r="I24" s="7" t="str">
        <f aca="false">HYPERLINK("https://www.liquisearch.com/delita_hyral/reception","Metacritic PS1")</f>
        <v>Metacritic PS1</v>
      </c>
      <c r="J24" s="1"/>
      <c r="K24" s="1"/>
      <c r="L24" s="1"/>
      <c r="M24" s="1"/>
    </row>
    <row r="25" customFormat="false" ht="15" hidden="false" customHeight="false" outlineLevel="0" collapsed="false">
      <c r="A25" s="8" t="s">
        <v>261</v>
      </c>
      <c r="B25" s="9" t="n">
        <v>82</v>
      </c>
      <c r="C25" s="10" t="str">
        <f aca="false">IF(B25="","Sin puntaje",IF(B25&gt;=90,"Obra maestra (90+)",IF(B25&gt;=80,"Muy bueno (80-89)",IF(B25&gt;=70,"Bueno (70-79)","Regular (&lt;70)"))))</f>
        <v>Muy bueno (80-89)</v>
      </c>
      <c r="D25" s="34" t="n">
        <v>1998</v>
      </c>
      <c r="E25" s="11" t="s">
        <v>447</v>
      </c>
      <c r="F25" s="11" t="s">
        <v>13</v>
      </c>
      <c r="G25" s="11" t="s">
        <v>389</v>
      </c>
      <c r="H25" s="11"/>
      <c r="I25" s="12" t="str">
        <f aca="false">HYPERLINK("https://rawg.io/games/genso-suikogaiden/suggestions","Metacritic PS1 · dudoso")</f>
        <v>Metacritic PS1 · dudoso</v>
      </c>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row r="49" customFormat="false" ht="15" hidden="false" customHeight="false" outlineLevel="0" collapsed="false">
      <c r="A49" s="1"/>
      <c r="B49" s="1"/>
      <c r="C49" s="1"/>
      <c r="D49" s="1"/>
      <c r="E49" s="1"/>
      <c r="F49" s="1"/>
      <c r="G49" s="1"/>
      <c r="H49" s="1"/>
      <c r="I49" s="1"/>
      <c r="J49" s="1"/>
      <c r="K49" s="1"/>
      <c r="L49" s="1"/>
      <c r="M49" s="1"/>
    </row>
    <row r="50" customFormat="false" ht="15" hidden="false" customHeight="false" outlineLevel="0" collapsed="false">
      <c r="A50" s="1"/>
      <c r="B50" s="1"/>
      <c r="C50" s="1"/>
      <c r="D50" s="1"/>
      <c r="E50" s="1"/>
      <c r="F50" s="1"/>
      <c r="G50" s="1"/>
      <c r="H50" s="1"/>
      <c r="I50" s="1"/>
      <c r="J50" s="1"/>
      <c r="K50" s="1"/>
      <c r="L50" s="1"/>
      <c r="M50" s="1"/>
    </row>
  </sheetData>
  <autoFilter ref="A3:I25"/>
  <conditionalFormatting sqref="B4:B25">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5">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5">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612</v>
      </c>
      <c r="B2" s="1"/>
      <c r="C2" s="1"/>
      <c r="D2" s="1"/>
      <c r="E2" s="1"/>
      <c r="F2" s="1"/>
      <c r="G2" s="1"/>
      <c r="H2" s="1"/>
      <c r="I2" s="1"/>
      <c r="J2" s="1"/>
      <c r="K2" s="1"/>
      <c r="L2" s="1"/>
      <c r="M2" s="1"/>
    </row>
    <row r="3" customFormat="false" ht="21.75" hidden="false" customHeight="true" outlineLevel="0" collapsed="false">
      <c r="A3" s="2" t="s">
        <v>0</v>
      </c>
      <c r="B3" s="2" t="s">
        <v>1</v>
      </c>
      <c r="C3" s="2" t="s">
        <v>2</v>
      </c>
      <c r="D3" s="2" t="s">
        <v>426</v>
      </c>
      <c r="E3" s="2" t="s">
        <v>427</v>
      </c>
      <c r="F3" s="2" t="s">
        <v>4</v>
      </c>
      <c r="G3" s="2" t="s">
        <v>381</v>
      </c>
      <c r="H3" s="2" t="s">
        <v>8</v>
      </c>
      <c r="I3" s="2" t="s">
        <v>9</v>
      </c>
      <c r="J3" s="1"/>
      <c r="K3" s="1"/>
      <c r="L3" s="1"/>
      <c r="M3" s="1"/>
    </row>
    <row r="4" customFormat="false" ht="23.85" hidden="false" customHeight="false" outlineLevel="0" collapsed="false">
      <c r="A4" s="3" t="s">
        <v>613</v>
      </c>
      <c r="B4" s="4" t="n">
        <v>99</v>
      </c>
      <c r="C4" s="5" t="str">
        <f aca="false">IF(B4="","Sin puntaje",IF(B4&gt;=90,"Obra maestra (90+)",IF(B4&gt;=80,"Muy bueno (80-89)",IF(B4&gt;=70,"Bueno (70-79)","Regular (&lt;70)"))))</f>
        <v>Obra maestra (90+)</v>
      </c>
      <c r="D4" s="33" t="n">
        <v>1998</v>
      </c>
      <c r="E4" s="6" t="s">
        <v>440</v>
      </c>
      <c r="F4" s="6" t="s">
        <v>81</v>
      </c>
      <c r="G4" s="6" t="s">
        <v>390</v>
      </c>
      <c r="H4" s="6" t="s">
        <v>614</v>
      </c>
      <c r="I4" s="7" t="str">
        <f aca="false">HYPERLINK("https://www.guinnessworldrecords.com/world-records/455351-most-critically-acclaimed-videogame-metacritic","Metacritic N64")</f>
        <v>Metacritic N64</v>
      </c>
      <c r="J4" s="1"/>
      <c r="K4" s="1"/>
      <c r="L4" s="1"/>
      <c r="M4" s="1"/>
    </row>
    <row r="5" customFormat="false" ht="23.85" hidden="false" customHeight="false" outlineLevel="0" collapsed="false">
      <c r="A5" s="8" t="s">
        <v>148</v>
      </c>
      <c r="B5" s="9" t="n">
        <v>97</v>
      </c>
      <c r="C5" s="10" t="str">
        <f aca="false">IF(B5="","Sin puntaje",IF(B5&gt;=90,"Obra maestra (90+)",IF(B5&gt;=80,"Muy bueno (80-89)",IF(B5&gt;=70,"Bueno (70-79)","Regular (&lt;70)"))))</f>
        <v>Obra maestra (90+)</v>
      </c>
      <c r="D5" s="34" t="n">
        <v>2000</v>
      </c>
      <c r="E5" s="11" t="s">
        <v>615</v>
      </c>
      <c r="F5" s="11" t="s">
        <v>13</v>
      </c>
      <c r="G5" s="11" t="s">
        <v>616</v>
      </c>
      <c r="H5" s="11" t="s">
        <v>617</v>
      </c>
      <c r="I5" s="12" t="str">
        <f aca="false">HYPERLINK("https://www.keengamer.com/articles/features/6-of-the-best-n64-games-based-on-aggregated-metacritic-ratings/","Metacritic N64")</f>
        <v>Metacritic N64</v>
      </c>
      <c r="J5" s="1"/>
      <c r="K5" s="1"/>
      <c r="L5" s="1"/>
      <c r="M5" s="1"/>
    </row>
    <row r="6" customFormat="false" ht="23.85" hidden="false" customHeight="false" outlineLevel="0" collapsed="false">
      <c r="A6" s="3" t="s">
        <v>618</v>
      </c>
      <c r="B6" s="4" t="n">
        <v>96</v>
      </c>
      <c r="C6" s="5" t="str">
        <f aca="false">IF(B6="","Sin puntaje",IF(B6&gt;=90,"Obra maestra (90+)",IF(B6&gt;=80,"Muy bueno (80-89)",IF(B6&gt;=70,"Bueno (70-79)","Regular (&lt;70)"))))</f>
        <v>Obra maestra (90+)</v>
      </c>
      <c r="D6" s="33" t="n">
        <v>1997</v>
      </c>
      <c r="E6" s="6" t="s">
        <v>615</v>
      </c>
      <c r="F6" s="6" t="s">
        <v>81</v>
      </c>
      <c r="G6" s="6" t="s">
        <v>390</v>
      </c>
      <c r="H6" s="6" t="s">
        <v>619</v>
      </c>
      <c r="I6" s="7" t="str">
        <f aca="false">HYPERLINK("https://www.keengamer.com/articles/features/6-of-the-best-n64-games-based-on-aggregated-metacritic-ratings/","Metacritic N64")</f>
        <v>Metacritic N64</v>
      </c>
      <c r="J6" s="1"/>
      <c r="K6" s="1"/>
      <c r="L6" s="1"/>
      <c r="M6" s="1"/>
    </row>
    <row r="7" customFormat="false" ht="23.85" hidden="false" customHeight="false" outlineLevel="0" collapsed="false">
      <c r="A7" s="8" t="s">
        <v>620</v>
      </c>
      <c r="B7" s="9" t="n">
        <v>95</v>
      </c>
      <c r="C7" s="10" t="str">
        <f aca="false">IF(B7="","Sin puntaje",IF(B7&gt;=90,"Obra maestra (90+)",IF(B7&gt;=80,"Muy bueno (80-89)",IF(B7&gt;=70,"Bueno (70-79)","Regular (&lt;70)"))))</f>
        <v>Obra maestra (90+)</v>
      </c>
      <c r="D7" s="34" t="n">
        <v>2000</v>
      </c>
      <c r="E7" s="11" t="s">
        <v>440</v>
      </c>
      <c r="F7" s="11" t="s">
        <v>81</v>
      </c>
      <c r="G7" s="11" t="s">
        <v>390</v>
      </c>
      <c r="H7" s="11" t="s">
        <v>621</v>
      </c>
      <c r="I7" s="12" t="str">
        <f aca="false">HYPERLINK("https://www.keengamer.com/articles/features/6-of-the-best-n64-games-based-on-aggregated-metacritic-ratings/","Metacritic N64")</f>
        <v>Metacritic N64</v>
      </c>
      <c r="J7" s="1"/>
      <c r="K7" s="1"/>
      <c r="L7" s="1"/>
      <c r="M7" s="1"/>
    </row>
    <row r="8" customFormat="false" ht="15" hidden="false" customHeight="false" outlineLevel="0" collapsed="false">
      <c r="A8" s="3" t="s">
        <v>622</v>
      </c>
      <c r="B8" s="4" t="n">
        <v>94</v>
      </c>
      <c r="C8" s="5" t="str">
        <f aca="false">IF(B8="","Sin puntaje",IF(B8&gt;=90,"Obra maestra (90+)",IF(B8&gt;=80,"Muy bueno (80-89)",IF(B8&gt;=70,"Bueno (70-79)","Regular (&lt;70)"))))</f>
        <v>Obra maestra (90+)</v>
      </c>
      <c r="D8" s="33" t="n">
        <v>1996</v>
      </c>
      <c r="E8" s="6" t="s">
        <v>429</v>
      </c>
      <c r="F8" s="6" t="s">
        <v>13</v>
      </c>
      <c r="G8" s="6" t="s">
        <v>390</v>
      </c>
      <c r="H8" s="6"/>
      <c r="I8" s="7" t="str">
        <f aca="false">HYPERLINK("https://uk.news.yahoo.com/37-best-nintendo-video-games-115500695.html","Metacritic N64")</f>
        <v>Metacritic N64</v>
      </c>
      <c r="J8" s="1"/>
      <c r="K8" s="1"/>
      <c r="L8" s="1"/>
      <c r="M8" s="1"/>
    </row>
    <row r="9" customFormat="false" ht="15" hidden="false" customHeight="false" outlineLevel="0" collapsed="false">
      <c r="A9" s="8" t="s">
        <v>623</v>
      </c>
      <c r="B9" s="9" t="n">
        <v>93</v>
      </c>
      <c r="C9" s="10" t="str">
        <f aca="false">IF(B9="","Sin puntaje",IF(B9&gt;=90,"Obra maestra (90+)",IF(B9&gt;=80,"Muy bueno (80-89)",IF(B9&gt;=70,"Bueno (70-79)","Regular (&lt;70)"))))</f>
        <v>Obra maestra (90+)</v>
      </c>
      <c r="D9" s="34" t="n">
        <v>2000</v>
      </c>
      <c r="E9" s="11" t="s">
        <v>447</v>
      </c>
      <c r="F9" s="11" t="s">
        <v>81</v>
      </c>
      <c r="G9" s="11" t="s">
        <v>390</v>
      </c>
      <c r="H9" s="11"/>
      <c r="I9" s="12" t="str">
        <f aca="false">HYPERLINK("https://uk.news.yahoo.com/37-best-nintendo-video-games-115500695.html","Metacritic N64")</f>
        <v>Metacritic N64</v>
      </c>
      <c r="J9" s="1"/>
      <c r="K9" s="1"/>
      <c r="L9" s="1"/>
      <c r="M9" s="1"/>
    </row>
    <row r="10" customFormat="false" ht="15" hidden="false" customHeight="false" outlineLevel="0" collapsed="false">
      <c r="A10" s="3" t="s">
        <v>624</v>
      </c>
      <c r="B10" s="4" t="n">
        <v>92</v>
      </c>
      <c r="C10" s="5" t="str">
        <f aca="false">IF(B10="","Sin puntaje",IF(B10&gt;=90,"Obra maestra (90+)",IF(B10&gt;=80,"Muy bueno (80-89)",IF(B10&gt;=70,"Bueno (70-79)","Regular (&lt;70)"))))</f>
        <v>Obra maestra (90+)</v>
      </c>
      <c r="D10" s="33" t="n">
        <v>1996</v>
      </c>
      <c r="E10" s="6" t="s">
        <v>461</v>
      </c>
      <c r="F10" s="6" t="s">
        <v>81</v>
      </c>
      <c r="G10" s="6" t="s">
        <v>390</v>
      </c>
      <c r="H10" s="6"/>
      <c r="I10" s="7" t="str">
        <f aca="false">HYPERLINK("https://nintendoeverything.com/the-best-and-worst-nintendo-series-of-all-time-%e2%80%93-part-1/","Metacritic N64")</f>
        <v>Metacritic N64</v>
      </c>
      <c r="J10" s="1"/>
      <c r="K10" s="1"/>
      <c r="L10" s="1"/>
      <c r="M10" s="1"/>
    </row>
    <row r="11" customFormat="false" ht="15" hidden="false" customHeight="false" outlineLevel="0" collapsed="false">
      <c r="A11" s="8" t="s">
        <v>625</v>
      </c>
      <c r="B11" s="9" t="n">
        <v>92</v>
      </c>
      <c r="C11" s="10" t="str">
        <f aca="false">IF(B11="","Sin puntaje",IF(B11&gt;=90,"Obra maestra (90+)",IF(B11&gt;=80,"Muy bueno (80-89)",IF(B11&gt;=70,"Bueno (70-79)","Regular (&lt;70)"))))</f>
        <v>Obra maestra (90+)</v>
      </c>
      <c r="D11" s="34" t="n">
        <v>1998</v>
      </c>
      <c r="E11" s="11" t="s">
        <v>429</v>
      </c>
      <c r="F11" s="11" t="s">
        <v>81</v>
      </c>
      <c r="G11" s="11" t="s">
        <v>390</v>
      </c>
      <c r="H11" s="11"/>
      <c r="I11" s="12" t="str">
        <f aca="false">HYPERLINK("https://www.einerd.com/nintendo-64-melhores-games/","Metacritic N64")</f>
        <v>Metacritic N64</v>
      </c>
      <c r="J11" s="1"/>
      <c r="K11" s="1"/>
      <c r="L11" s="1"/>
      <c r="M11" s="1"/>
    </row>
    <row r="12" customFormat="false" ht="15" hidden="false" customHeight="false" outlineLevel="0" collapsed="false">
      <c r="A12" s="3" t="s">
        <v>626</v>
      </c>
      <c r="B12" s="4" t="n">
        <v>92</v>
      </c>
      <c r="C12" s="5" t="str">
        <f aca="false">IF(B12="","Sin puntaje",IF(B12&gt;=90,"Obra maestra (90+)",IF(B12&gt;=80,"Muy bueno (80-89)",IF(B12&gt;=70,"Bueno (70-79)","Regular (&lt;70)"))))</f>
        <v>Obra maestra (90+)</v>
      </c>
      <c r="D12" s="33" t="n">
        <v>2001</v>
      </c>
      <c r="E12" s="6" t="s">
        <v>429</v>
      </c>
      <c r="F12" s="6" t="s">
        <v>81</v>
      </c>
      <c r="G12" s="6" t="s">
        <v>390</v>
      </c>
      <c r="H12" s="6" t="s">
        <v>627</v>
      </c>
      <c r="I12" s="7" t="str">
        <f aca="false">HYPERLINK("https://www.looper.com/319073/the-untold-truth-of-conkers-bad-fur-day/","Metacritic N64")</f>
        <v>Metacritic N64</v>
      </c>
      <c r="J12" s="1"/>
      <c r="K12" s="1"/>
      <c r="L12" s="1"/>
      <c r="M12" s="1"/>
    </row>
    <row r="13" customFormat="false" ht="15" hidden="false" customHeight="false" outlineLevel="0" collapsed="false">
      <c r="A13" s="8" t="s">
        <v>628</v>
      </c>
      <c r="B13" s="9" t="n">
        <v>91</v>
      </c>
      <c r="C13" s="10" t="str">
        <f aca="false">IF(B13="","Sin puntaje",IF(B13&gt;=90,"Obra maestra (90+)",IF(B13&gt;=80,"Muy bueno (80-89)",IF(B13&gt;=70,"Bueno (70-79)","Regular (&lt;70)"))))</f>
        <v>Obra maestra (90+)</v>
      </c>
      <c r="D13" s="34" t="n">
        <v>2000</v>
      </c>
      <c r="E13" s="11" t="s">
        <v>506</v>
      </c>
      <c r="F13" s="11" t="s">
        <v>81</v>
      </c>
      <c r="G13" s="11" t="s">
        <v>390</v>
      </c>
      <c r="H13" s="11"/>
      <c r="I13" s="12" t="str">
        <f aca="false">HYPERLINK("https://www.thegamer.com/best-mario-games-metacritic/","Metacritic N64")</f>
        <v>Metacritic N64</v>
      </c>
      <c r="J13" s="1"/>
      <c r="K13" s="1"/>
      <c r="L13" s="1"/>
      <c r="M13" s="1"/>
    </row>
    <row r="14" customFormat="false" ht="15" hidden="false" customHeight="false" outlineLevel="0" collapsed="false">
      <c r="A14" s="3" t="s">
        <v>629</v>
      </c>
      <c r="B14" s="4" t="n">
        <v>90</v>
      </c>
      <c r="C14" s="5" t="str">
        <f aca="false">IF(B14="","Sin puntaje",IF(B14&gt;=90,"Obra maestra (90+)",IF(B14&gt;=80,"Muy bueno (80-89)",IF(B14&gt;=70,"Bueno (70-79)","Regular (&lt;70)"))))</f>
        <v>Obra maestra (90+)</v>
      </c>
      <c r="D14" s="33" t="n">
        <v>2000</v>
      </c>
      <c r="E14" s="6" t="s">
        <v>429</v>
      </c>
      <c r="F14" s="6" t="s">
        <v>81</v>
      </c>
      <c r="G14" s="6" t="s">
        <v>390</v>
      </c>
      <c r="H14" s="6" t="s">
        <v>627</v>
      </c>
      <c r="I14" s="7" t="str">
        <f aca="false">HYPERLINK("https://playpile.gg/games/banjo-tooie","Metacritic N64")</f>
        <v>Metacritic N64</v>
      </c>
      <c r="J14" s="1"/>
      <c r="K14" s="1"/>
      <c r="L14" s="1"/>
      <c r="M14" s="1"/>
    </row>
    <row r="15" customFormat="false" ht="23.85" hidden="false" customHeight="false" outlineLevel="0" collapsed="false">
      <c r="A15" s="8" t="s">
        <v>630</v>
      </c>
      <c r="B15" s="9" t="n">
        <v>88</v>
      </c>
      <c r="C15" s="10" t="str">
        <f aca="false">IF(B15="","Sin puntaje",IF(B15&gt;=90,"Obra maestra (90+)",IF(B15&gt;=80,"Muy bueno (80-89)",IF(B15&gt;=70,"Bueno (70-79)","Regular (&lt;70)"))))</f>
        <v>Muy bueno (80-89)</v>
      </c>
      <c r="D15" s="34" t="n">
        <v>1997</v>
      </c>
      <c r="E15" s="11" t="s">
        <v>473</v>
      </c>
      <c r="F15" s="11" t="s">
        <v>13</v>
      </c>
      <c r="G15" s="11" t="s">
        <v>631</v>
      </c>
      <c r="H15" s="11" t="s">
        <v>617</v>
      </c>
      <c r="I15" s="12" t="str">
        <f aca="false">HYPERLINK("https://www.levelup.com/noticias/cuales-son-las-mejores-entregas-de-star-fox-metacritic-te-lo-dice/","Metacritic N64")</f>
        <v>Metacritic N64</v>
      </c>
      <c r="J15" s="1"/>
      <c r="K15" s="1"/>
      <c r="L15" s="1"/>
      <c r="M15" s="1"/>
    </row>
    <row r="16" customFormat="false" ht="15" hidden="false" customHeight="false" outlineLevel="0" collapsed="false">
      <c r="A16" s="3" t="s">
        <v>632</v>
      </c>
      <c r="B16" s="4" t="n">
        <v>88</v>
      </c>
      <c r="C16" s="5" t="str">
        <f aca="false">IF(B16="","Sin puntaje",IF(B16&gt;=90,"Obra maestra (90+)",IF(B16&gt;=80,"Muy bueno (80-89)",IF(B16&gt;=70,"Bueno (70-79)","Regular (&lt;70)"))))</f>
        <v>Muy bueno (80-89)</v>
      </c>
      <c r="D16" s="33" t="n">
        <v>1997</v>
      </c>
      <c r="E16" s="6" t="s">
        <v>461</v>
      </c>
      <c r="F16" s="6" t="s">
        <v>81</v>
      </c>
      <c r="G16" s="6" t="s">
        <v>390</v>
      </c>
      <c r="H16" s="6"/>
      <c r="I16" s="7" t="str">
        <f aca="false">HYPERLINK("https://www.hobbydb.com/catalog_items/diddy-kong-racing","Metacritic N64")</f>
        <v>Metacritic N64</v>
      </c>
      <c r="J16" s="1"/>
      <c r="K16" s="1"/>
      <c r="L16" s="1"/>
      <c r="M16" s="1"/>
    </row>
    <row r="17" customFormat="false" ht="15" hidden="false" customHeight="false" outlineLevel="0" collapsed="false">
      <c r="A17" s="8" t="s">
        <v>633</v>
      </c>
      <c r="B17" s="9" t="n">
        <v>88</v>
      </c>
      <c r="C17" s="10" t="str">
        <f aca="false">IF(B17="","Sin puntaje",IF(B17&gt;=90,"Obra maestra (90+)",IF(B17&gt;=80,"Muy bueno (80-89)",IF(B17&gt;=70,"Bueno (70-79)","Regular (&lt;70)"))))</f>
        <v>Muy bueno (80-89)</v>
      </c>
      <c r="D17" s="34" t="n">
        <v>1998</v>
      </c>
      <c r="E17" s="11" t="s">
        <v>506</v>
      </c>
      <c r="F17" s="11" t="s">
        <v>81</v>
      </c>
      <c r="G17" s="11" t="s">
        <v>390</v>
      </c>
      <c r="H17" s="11"/>
      <c r="I17" s="12" t="str">
        <f aca="false">HYPERLINK("https://en.wikipedia.org/wiki/1080%C2%B0_Snowboarding","Metacritic N64")</f>
        <v>Metacritic N64</v>
      </c>
      <c r="J17" s="1"/>
      <c r="K17" s="1"/>
      <c r="L17" s="1"/>
      <c r="M17" s="1"/>
    </row>
    <row r="18" customFormat="false" ht="15" hidden="false" customHeight="false" outlineLevel="0" collapsed="false">
      <c r="A18" s="3" t="s">
        <v>634</v>
      </c>
      <c r="B18" s="4" t="n">
        <v>85</v>
      </c>
      <c r="C18" s="5" t="str">
        <f aca="false">IF(B18="","Sin puntaje",IF(B18&gt;=90,"Obra maestra (90+)",IF(B18&gt;=80,"Muy bueno (80-89)",IF(B18&gt;=70,"Bueno (70-79)","Regular (&lt;70)"))))</f>
        <v>Muy bueno (80-89)</v>
      </c>
      <c r="D18" s="33" t="n">
        <v>1998</v>
      </c>
      <c r="E18" s="6" t="s">
        <v>461</v>
      </c>
      <c r="F18" s="6" t="s">
        <v>81</v>
      </c>
      <c r="G18" s="6" t="s">
        <v>390</v>
      </c>
      <c r="H18" s="6"/>
      <c r="I18" s="7" t="str">
        <f aca="false">HYPERLINK("https://legacy.prod.metacritic.com/game/nintendo-64/f-zero-x","Metacritic N64")</f>
        <v>Metacritic N64</v>
      </c>
      <c r="J18" s="1"/>
      <c r="K18" s="1"/>
      <c r="L18" s="1"/>
      <c r="M18" s="1"/>
    </row>
    <row r="19" customFormat="false" ht="15" hidden="false" customHeight="false" outlineLevel="0" collapsed="false">
      <c r="A19" s="8" t="s">
        <v>635</v>
      </c>
      <c r="B19" s="9" t="n">
        <v>83</v>
      </c>
      <c r="C19" s="10" t="str">
        <f aca="false">IF(B19="","Sin puntaje",IF(B19&gt;=90,"Obra maestra (90+)",IF(B19&gt;=80,"Muy bueno (80-89)",IF(B19&gt;=70,"Bueno (70-79)","Regular (&lt;70)"))))</f>
        <v>Muy bueno (80-89)</v>
      </c>
      <c r="D19" s="34" t="n">
        <v>1996</v>
      </c>
      <c r="E19" s="11" t="s">
        <v>461</v>
      </c>
      <c r="F19" s="11" t="s">
        <v>13</v>
      </c>
      <c r="G19" s="11" t="s">
        <v>390</v>
      </c>
      <c r="H19" s="11"/>
      <c r="I19" s="12" t="str">
        <f aca="false">HYPERLINK("https://www.thegamer.com/mario-kart-every-game-ranked-according-metacritic/","Metacritic N64")</f>
        <v>Metacritic N64</v>
      </c>
      <c r="J19" s="1"/>
      <c r="K19" s="1"/>
      <c r="L19" s="1"/>
      <c r="M19" s="1"/>
    </row>
    <row r="20" customFormat="false" ht="15" hidden="false" customHeight="false" outlineLevel="0" collapsed="false">
      <c r="A20" s="3" t="s">
        <v>636</v>
      </c>
      <c r="B20" s="4" t="n">
        <v>79</v>
      </c>
      <c r="C20" s="5" t="str">
        <f aca="false">IF(B20="","Sin puntaje",IF(B20&gt;=90,"Obra maestra (90+)",IF(B20&gt;=80,"Muy bueno (80-89)",IF(B20&gt;=70,"Bueno (70-79)","Regular (&lt;70)"))))</f>
        <v>Bueno (70-79)</v>
      </c>
      <c r="D20" s="33" t="n">
        <v>1999</v>
      </c>
      <c r="E20" s="6" t="s">
        <v>465</v>
      </c>
      <c r="F20" s="6" t="s">
        <v>81</v>
      </c>
      <c r="G20" s="6" t="s">
        <v>390</v>
      </c>
      <c r="H20" s="6"/>
      <c r="I20" s="7" t="str">
        <f aca="false">HYPERLINK("https://nintendoeverything.com/the-best-and-worst-nintendo-series-of-all-time-%e2%80%93-part-1/","Metacritic N64")</f>
        <v>Metacritic N64</v>
      </c>
      <c r="J20" s="1"/>
      <c r="K20" s="1"/>
      <c r="L20" s="1"/>
      <c r="M20" s="1"/>
    </row>
    <row r="21" customFormat="false" ht="15" hidden="false" customHeight="false" outlineLevel="0" collapsed="false">
      <c r="A21" s="8" t="s">
        <v>637</v>
      </c>
      <c r="B21" s="9" t="n">
        <v>77</v>
      </c>
      <c r="C21" s="10" t="str">
        <f aca="false">IF(B21="","Sin puntaje",IF(B21&gt;=90,"Obra maestra (90+)",IF(B21&gt;=80,"Muy bueno (80-89)",IF(B21&gt;=70,"Bueno (70-79)","Regular (&lt;70)"))))</f>
        <v>Bueno (70-79)</v>
      </c>
      <c r="D21" s="34" t="n">
        <v>1999</v>
      </c>
      <c r="E21" s="11" t="s">
        <v>638</v>
      </c>
      <c r="F21" s="11" t="s">
        <v>81</v>
      </c>
      <c r="G21" s="11" t="s">
        <v>390</v>
      </c>
      <c r="H21" s="11"/>
      <c r="I21" s="12" t="str">
        <f aca="false">HYPERLINK("https://knowyourmeme.com/memes/subcultures/pokemon-snap","Metacritic N64")</f>
        <v>Metacritic N64</v>
      </c>
      <c r="J21" s="1"/>
      <c r="K21" s="1"/>
      <c r="L21" s="1"/>
      <c r="M21" s="1"/>
    </row>
    <row r="22" customFormat="false" ht="15" hidden="false" customHeight="false" outlineLevel="0" collapsed="false">
      <c r="A22" s="1"/>
      <c r="B22" s="1"/>
      <c r="C22" s="1"/>
      <c r="D22" s="1"/>
      <c r="E22" s="1"/>
      <c r="F22" s="1"/>
      <c r="G22" s="1"/>
      <c r="H22" s="1"/>
      <c r="I22" s="1"/>
      <c r="J22" s="1"/>
      <c r="K22" s="1"/>
      <c r="L22" s="1"/>
      <c r="M22" s="1"/>
    </row>
    <row r="23" customFormat="false" ht="15" hidden="false" customHeight="false" outlineLevel="0" collapsed="false">
      <c r="A23" s="1"/>
      <c r="B23" s="1"/>
      <c r="C23" s="1"/>
      <c r="D23" s="1"/>
      <c r="E23" s="1"/>
      <c r="F23" s="1"/>
      <c r="G23" s="1"/>
      <c r="H23" s="1"/>
      <c r="I23" s="1"/>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sheetData>
  <autoFilter ref="A3:I21"/>
  <conditionalFormatting sqref="B4:B21">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1">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1">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639</v>
      </c>
      <c r="B2" s="1"/>
      <c r="C2" s="1"/>
      <c r="D2" s="1"/>
      <c r="E2" s="1"/>
      <c r="F2" s="1"/>
      <c r="G2" s="1"/>
      <c r="H2" s="1"/>
      <c r="I2" s="1"/>
      <c r="J2" s="1"/>
      <c r="K2" s="1"/>
      <c r="L2" s="1"/>
      <c r="M2" s="1"/>
    </row>
    <row r="3" customFormat="false" ht="21.75" hidden="false" customHeight="true" outlineLevel="0" collapsed="false">
      <c r="A3" s="2" t="s">
        <v>0</v>
      </c>
      <c r="B3" s="2" t="s">
        <v>1</v>
      </c>
      <c r="C3" s="2" t="s">
        <v>2</v>
      </c>
      <c r="D3" s="2" t="s">
        <v>426</v>
      </c>
      <c r="E3" s="2" t="s">
        <v>427</v>
      </c>
      <c r="F3" s="2" t="s">
        <v>4</v>
      </c>
      <c r="G3" s="2" t="s">
        <v>381</v>
      </c>
      <c r="H3" s="2" t="s">
        <v>8</v>
      </c>
      <c r="I3" s="2" t="s">
        <v>9</v>
      </c>
      <c r="J3" s="1"/>
      <c r="K3" s="1"/>
      <c r="L3" s="1"/>
      <c r="M3" s="1"/>
    </row>
    <row r="4" customFormat="false" ht="15" hidden="false" customHeight="false" outlineLevel="0" collapsed="false">
      <c r="A4" s="3" t="s">
        <v>640</v>
      </c>
      <c r="B4" s="4" t="n">
        <v>93</v>
      </c>
      <c r="C4" s="5" t="str">
        <f aca="false">IF(B4="","Sin puntaje",IF(B4&gt;=90,"Obra maestra (90+)",IF(B4&gt;=80,"Muy bueno (80-89)",IF(B4&gt;=70,"Bueno (70-79)","Regular (&lt;70)"))))</f>
        <v>Obra maestra (90+)</v>
      </c>
      <c r="D4" s="33" t="n">
        <v>2009</v>
      </c>
      <c r="E4" s="6" t="s">
        <v>560</v>
      </c>
      <c r="F4" s="6" t="s">
        <v>13</v>
      </c>
      <c r="G4" s="6" t="s">
        <v>391</v>
      </c>
      <c r="H4" s="6"/>
      <c r="I4" s="7" t="str">
        <f aca="false">HYPERLINK("https://www.metacritic.com/browse/game/nintendo-ds/all/all-time/metascore/","Metacritic DS")</f>
        <v>Metacritic DS</v>
      </c>
      <c r="J4" s="1"/>
      <c r="K4" s="1"/>
      <c r="L4" s="1"/>
      <c r="M4" s="1"/>
    </row>
    <row r="5" customFormat="false" ht="15" hidden="false" customHeight="false" outlineLevel="0" collapsed="false">
      <c r="A5" s="8" t="s">
        <v>641</v>
      </c>
      <c r="B5" s="9" t="n">
        <v>92</v>
      </c>
      <c r="C5" s="10" t="str">
        <f aca="false">IF(B5="","Sin puntaje",IF(B5&gt;=90,"Obra maestra (90+)",IF(B5&gt;=80,"Muy bueno (80-89)",IF(B5&gt;=70,"Bueno (70-79)","Regular (&lt;70)"))))</f>
        <v>Obra maestra (90+)</v>
      </c>
      <c r="D5" s="34" t="n">
        <v>2008</v>
      </c>
      <c r="E5" s="11" t="s">
        <v>447</v>
      </c>
      <c r="F5" s="11" t="s">
        <v>13</v>
      </c>
      <c r="G5" s="11" t="s">
        <v>391</v>
      </c>
      <c r="H5" s="11"/>
      <c r="I5" s="12" t="str">
        <f aca="false">HYPERLINK("https://www.metacritic.com/browse/game/nintendo-ds/all/all-time/metascore/","Metacritic DS")</f>
        <v>Metacritic DS</v>
      </c>
      <c r="J5" s="1"/>
      <c r="K5" s="1"/>
      <c r="L5" s="1"/>
      <c r="M5" s="1"/>
    </row>
    <row r="6" customFormat="false" ht="15" hidden="false" customHeight="false" outlineLevel="0" collapsed="false">
      <c r="A6" s="3" t="s">
        <v>642</v>
      </c>
      <c r="B6" s="4" t="n">
        <v>91</v>
      </c>
      <c r="C6" s="5" t="str">
        <f aca="false">IF(B6="","Sin puntaje",IF(B6&gt;=90,"Obra maestra (90+)",IF(B6&gt;=80,"Muy bueno (80-89)",IF(B6&gt;=70,"Bueno (70-79)","Regular (&lt;70)"))))</f>
        <v>Obra maestra (90+)</v>
      </c>
      <c r="D6" s="33" t="n">
        <v>2005</v>
      </c>
      <c r="E6" s="6" t="s">
        <v>461</v>
      </c>
      <c r="F6" s="6" t="s">
        <v>13</v>
      </c>
      <c r="G6" s="6" t="s">
        <v>391</v>
      </c>
      <c r="H6" s="6"/>
      <c r="I6" s="7" t="str">
        <f aca="false">HYPERLINK("https://www.metacritic.com/browse/game/nintendo-ds/all/all-time/metascore/","Metacritic DS")</f>
        <v>Metacritic DS</v>
      </c>
      <c r="J6" s="1"/>
      <c r="K6" s="1"/>
      <c r="L6" s="1"/>
      <c r="M6" s="1"/>
    </row>
    <row r="7" customFormat="false" ht="15" hidden="false" customHeight="false" outlineLevel="0" collapsed="false">
      <c r="A7" s="8" t="s">
        <v>643</v>
      </c>
      <c r="B7" s="9" t="n">
        <v>90</v>
      </c>
      <c r="C7" s="10" t="str">
        <f aca="false">IF(B7="","Sin puntaje",IF(B7&gt;=90,"Obra maestra (90+)",IF(B7&gt;=80,"Muy bueno (80-89)",IF(B7&gt;=70,"Bueno (70-79)","Regular (&lt;70)"))))</f>
        <v>Obra maestra (90+)</v>
      </c>
      <c r="D7" s="34" t="n">
        <v>2005</v>
      </c>
      <c r="E7" s="11" t="s">
        <v>511</v>
      </c>
      <c r="F7" s="11" t="s">
        <v>13</v>
      </c>
      <c r="G7" s="11" t="s">
        <v>391</v>
      </c>
      <c r="H7" s="11"/>
      <c r="I7" s="12" t="str">
        <f aca="false">HYPERLINK("https://www.metacritic.com/browse/game/nintendo-ds/all/all-time/metascore/","Metacritic DS")</f>
        <v>Metacritic DS</v>
      </c>
      <c r="J7" s="1"/>
      <c r="K7" s="1"/>
      <c r="L7" s="1"/>
      <c r="M7" s="1"/>
    </row>
    <row r="8" customFormat="false" ht="15" hidden="false" customHeight="false" outlineLevel="0" collapsed="false">
      <c r="A8" s="3" t="s">
        <v>644</v>
      </c>
      <c r="B8" s="4" t="n">
        <v>90</v>
      </c>
      <c r="C8" s="5" t="str">
        <f aca="false">IF(B8="","Sin puntaje",IF(B8&gt;=90,"Obra maestra (90+)",IF(B8&gt;=80,"Muy bueno (80-89)",IF(B8&gt;=70,"Bueno (70-79)","Regular (&lt;70)"))))</f>
        <v>Obra maestra (90+)</v>
      </c>
      <c r="D8" s="33" t="n">
        <v>2007</v>
      </c>
      <c r="E8" s="6" t="s">
        <v>440</v>
      </c>
      <c r="F8" s="6" t="s">
        <v>81</v>
      </c>
      <c r="G8" s="6" t="s">
        <v>391</v>
      </c>
      <c r="H8" s="6" t="s">
        <v>645</v>
      </c>
      <c r="I8" s="7" t="str">
        <f aca="false">HYPERLINK("https://www.metacritic.com/browse/game/nintendo-ds/all/all-time/metascore/","Metacritic DS")</f>
        <v>Metacritic DS</v>
      </c>
      <c r="J8" s="1"/>
      <c r="K8" s="1"/>
      <c r="L8" s="1"/>
      <c r="M8" s="1"/>
    </row>
    <row r="9" customFormat="false" ht="15" hidden="false" customHeight="false" outlineLevel="0" collapsed="false">
      <c r="A9" s="8" t="s">
        <v>646</v>
      </c>
      <c r="B9" s="9" t="n">
        <v>90</v>
      </c>
      <c r="C9" s="10" t="str">
        <f aca="false">IF(B9="","Sin puntaje",IF(B9&gt;=90,"Obra maestra (90+)",IF(B9&gt;=80,"Muy bueno (80-89)",IF(B9&gt;=70,"Bueno (70-79)","Regular (&lt;70)"))))</f>
        <v>Obra maestra (90+)</v>
      </c>
      <c r="D9" s="34" t="n">
        <v>2009</v>
      </c>
      <c r="E9" s="11" t="s">
        <v>447</v>
      </c>
      <c r="F9" s="11" t="s">
        <v>13</v>
      </c>
      <c r="G9" s="11" t="s">
        <v>391</v>
      </c>
      <c r="H9" s="11"/>
      <c r="I9" s="12" t="str">
        <f aca="false">HYPERLINK("https://www.metacritic.com/browse/game/nintendo-ds/all/all-time/metascore/","Metacritic DS")</f>
        <v>Metacritic DS</v>
      </c>
      <c r="J9" s="1"/>
      <c r="K9" s="1"/>
      <c r="L9" s="1"/>
      <c r="M9" s="1"/>
    </row>
    <row r="10" customFormat="false" ht="15" hidden="false" customHeight="false" outlineLevel="0" collapsed="false">
      <c r="A10" s="3" t="s">
        <v>257</v>
      </c>
      <c r="B10" s="4" t="n">
        <v>89</v>
      </c>
      <c r="C10" s="5" t="str">
        <f aca="false">IF(B10="","Sin puntaje",IF(B10&gt;=90,"Obra maestra (90+)",IF(B10&gt;=80,"Muy bueno (80-89)",IF(B10&gt;=70,"Bueno (70-79)","Regular (&lt;70)"))))</f>
        <v>Muy bueno (80-89)</v>
      </c>
      <c r="D10" s="33" t="n">
        <v>2005</v>
      </c>
      <c r="E10" s="6" t="s">
        <v>449</v>
      </c>
      <c r="F10" s="6" t="s">
        <v>13</v>
      </c>
      <c r="G10" s="6" t="s">
        <v>391</v>
      </c>
      <c r="H10" s="6"/>
      <c r="I10" s="7" t="str">
        <f aca="false">HYPERLINK("https://www.nintendoworldreport.com/forums/index.php?topic=69187.0","Metacritic DS")</f>
        <v>Metacritic DS</v>
      </c>
      <c r="J10" s="1"/>
      <c r="K10" s="1"/>
      <c r="L10" s="1"/>
      <c r="M10" s="1"/>
    </row>
    <row r="11" customFormat="false" ht="15" hidden="false" customHeight="false" outlineLevel="0" collapsed="false">
      <c r="A11" s="8" t="s">
        <v>647</v>
      </c>
      <c r="B11" s="9" t="n">
        <v>89</v>
      </c>
      <c r="C11" s="10" t="str">
        <f aca="false">IF(B11="","Sin puntaje",IF(B11&gt;=90,"Obra maestra (90+)",IF(B11&gt;=80,"Muy bueno (80-89)",IF(B11&gt;=70,"Bueno (70-79)","Regular (&lt;70)"))))</f>
        <v>Muy bueno (80-89)</v>
      </c>
      <c r="D11" s="34" t="n">
        <v>2006</v>
      </c>
      <c r="E11" s="11" t="s">
        <v>429</v>
      </c>
      <c r="F11" s="11" t="s">
        <v>13</v>
      </c>
      <c r="G11" s="11" t="s">
        <v>391</v>
      </c>
      <c r="H11" s="11"/>
      <c r="I11" s="12" t="str">
        <f aca="false">HYPERLINK("https://www.nintendoworldreport.com/forums/index.php?topic=69187.0","Metacritic DS")</f>
        <v>Metacritic DS</v>
      </c>
      <c r="J11" s="1"/>
      <c r="K11" s="1"/>
      <c r="L11" s="1"/>
      <c r="M11" s="1"/>
    </row>
    <row r="12" customFormat="false" ht="15" hidden="false" customHeight="false" outlineLevel="0" collapsed="false">
      <c r="A12" s="3" t="s">
        <v>648</v>
      </c>
      <c r="B12" s="4" t="n">
        <v>88</v>
      </c>
      <c r="C12" s="5" t="str">
        <f aca="false">IF(B12="","Sin puntaje",IF(B12&gt;=90,"Obra maestra (90+)",IF(B12&gt;=80,"Muy bueno (80-89)",IF(B12&gt;=70,"Bueno (70-79)","Regular (&lt;70)"))))</f>
        <v>Muy bueno (80-89)</v>
      </c>
      <c r="D12" s="33" t="n">
        <v>2005</v>
      </c>
      <c r="E12" s="6" t="s">
        <v>453</v>
      </c>
      <c r="F12" s="6" t="s">
        <v>81</v>
      </c>
      <c r="G12" s="6" t="s">
        <v>391</v>
      </c>
      <c r="H12" s="6" t="s">
        <v>645</v>
      </c>
      <c r="I12" s="7" t="str">
        <f aca="false">HYPERLINK("https://www.nintendoworldreport.com/forums/index.php?topic=69187.0","Metacritic DS")</f>
        <v>Metacritic DS</v>
      </c>
      <c r="J12" s="1"/>
      <c r="K12" s="1"/>
      <c r="L12" s="1"/>
      <c r="M12" s="1"/>
    </row>
    <row r="13" customFormat="false" ht="15" hidden="false" customHeight="false" outlineLevel="0" collapsed="false">
      <c r="A13" s="8" t="s">
        <v>649</v>
      </c>
      <c r="B13" s="9" t="n">
        <v>87</v>
      </c>
      <c r="C13" s="10" t="str">
        <f aca="false">IF(B13="","Sin puntaje",IF(B13&gt;=90,"Obra maestra (90+)",IF(B13&gt;=80,"Muy bueno (80-89)",IF(B13&gt;=70,"Bueno (70-79)","Regular (&lt;70)"))))</f>
        <v>Muy bueno (80-89)</v>
      </c>
      <c r="D13" s="34" t="n">
        <v>2006</v>
      </c>
      <c r="E13" s="11" t="s">
        <v>650</v>
      </c>
      <c r="F13" s="11" t="s">
        <v>81</v>
      </c>
      <c r="G13" s="11" t="s">
        <v>391</v>
      </c>
      <c r="H13" s="11" t="s">
        <v>645</v>
      </c>
      <c r="I13" s="12" t="str">
        <f aca="false">HYPERLINK("https://playpile.gg/games/elite-beat-agents","Metacritic DS")</f>
        <v>Metacritic DS</v>
      </c>
      <c r="J13" s="1"/>
      <c r="K13" s="1"/>
      <c r="L13" s="1"/>
      <c r="M13" s="1"/>
    </row>
    <row r="14" customFormat="false" ht="15" hidden="false" customHeight="false" outlineLevel="0" collapsed="false">
      <c r="A14" s="3" t="s">
        <v>651</v>
      </c>
      <c r="B14" s="4" t="n">
        <v>87</v>
      </c>
      <c r="C14" s="5" t="str">
        <f aca="false">IF(B14="","Sin puntaje",IF(B14&gt;=90,"Obra maestra (90+)",IF(B14&gt;=80,"Muy bueno (80-89)",IF(B14&gt;=70,"Bueno (70-79)","Regular (&lt;70)"))))</f>
        <v>Muy bueno (80-89)</v>
      </c>
      <c r="D14" s="33" t="n">
        <v>2009</v>
      </c>
      <c r="E14" s="6" t="s">
        <v>447</v>
      </c>
      <c r="F14" s="6" t="s">
        <v>13</v>
      </c>
      <c r="G14" s="6" t="s">
        <v>391</v>
      </c>
      <c r="H14" s="6"/>
      <c r="I14" s="7" t="str">
        <f aca="false">HYPERLINK("https://www.gamepro.de/artikel/pokemon-metacritic-ranking,3387609.html","Metacritic DS")</f>
        <v>Metacritic DS</v>
      </c>
      <c r="J14" s="1"/>
      <c r="K14" s="1"/>
      <c r="L14" s="1"/>
      <c r="M14" s="1"/>
    </row>
    <row r="15" customFormat="false" ht="15" hidden="false" customHeight="false" outlineLevel="0" collapsed="false">
      <c r="A15" s="8" t="s">
        <v>652</v>
      </c>
      <c r="B15" s="9" t="n">
        <v>87</v>
      </c>
      <c r="C15" s="10" t="str">
        <f aca="false">IF(B15="","Sin puntaje",IF(B15&gt;=90,"Obra maestra (90+)",IF(B15&gt;=80,"Muy bueno (80-89)",IF(B15&gt;=70,"Bueno (70-79)","Regular (&lt;70)"))))</f>
        <v>Muy bueno (80-89)</v>
      </c>
      <c r="D15" s="34" t="n">
        <v>2009</v>
      </c>
      <c r="E15" s="11" t="s">
        <v>447</v>
      </c>
      <c r="F15" s="11" t="s">
        <v>13</v>
      </c>
      <c r="G15" s="11" t="s">
        <v>391</v>
      </c>
      <c r="H15" s="11"/>
      <c r="I15" s="12" t="str">
        <f aca="false">HYPERLINK("https://ingamenews.com/nintendo/dragon-quest-creator-explains-why-dqix-was-a-nintendo-ds-exclusive/","Metacritic DS")</f>
        <v>Metacritic DS</v>
      </c>
      <c r="J15" s="1"/>
      <c r="K15" s="1"/>
      <c r="L15" s="1"/>
      <c r="M15" s="1"/>
    </row>
    <row r="16" customFormat="false" ht="15" hidden="false" customHeight="false" outlineLevel="0" collapsed="false">
      <c r="A16" s="3" t="s">
        <v>653</v>
      </c>
      <c r="B16" s="4" t="n">
        <v>87</v>
      </c>
      <c r="C16" s="5" t="str">
        <f aca="false">IF(B16="","Sin puntaje",IF(B16&gt;=90,"Obra maestra (90+)",IF(B16&gt;=80,"Muy bueno (80-89)",IF(B16&gt;=70,"Bueno (70-79)","Regular (&lt;70)"))))</f>
        <v>Muy bueno (80-89)</v>
      </c>
      <c r="D16" s="33" t="n">
        <v>2010</v>
      </c>
      <c r="E16" s="6" t="s">
        <v>447</v>
      </c>
      <c r="F16" s="6" t="s">
        <v>13</v>
      </c>
      <c r="G16" s="6" t="s">
        <v>391</v>
      </c>
      <c r="H16" s="6"/>
      <c r="I16" s="7" t="str">
        <f aca="false">HYPERLINK("https://www.gamepro.de/artikel/pokemon-metacritic-ranking,3387609.html","Metacritic DS")</f>
        <v>Metacritic DS</v>
      </c>
      <c r="J16" s="1"/>
      <c r="K16" s="1"/>
      <c r="L16" s="1"/>
      <c r="M16" s="1"/>
    </row>
    <row r="17" customFormat="false" ht="15" hidden="false" customHeight="false" outlineLevel="0" collapsed="false">
      <c r="A17" s="8" t="s">
        <v>654</v>
      </c>
      <c r="B17" s="9" t="n">
        <v>85</v>
      </c>
      <c r="C17" s="10" t="str">
        <f aca="false">IF(B17="","Sin puntaje",IF(B17&gt;=90,"Obra maestra (90+)",IF(B17&gt;=80,"Muy bueno (80-89)",IF(B17&gt;=70,"Bueno (70-79)","Regular (&lt;70)"))))</f>
        <v>Muy bueno (80-89)</v>
      </c>
      <c r="D17" s="34" t="n">
        <v>2008</v>
      </c>
      <c r="E17" s="11" t="s">
        <v>449</v>
      </c>
      <c r="F17" s="11" t="s">
        <v>13</v>
      </c>
      <c r="G17" s="11" t="s">
        <v>391</v>
      </c>
      <c r="H17" s="11"/>
      <c r="I17" s="12" t="str">
        <f aca="false">HYPERLINK("https://vandal.elespanol.com/noticia/1350773884/estos-son-los-juegos-de-castlevania-mejor-valorados-segun-su-nota-de-metacritic-y-vandal/","Metacritic DS")</f>
        <v>Metacritic DS</v>
      </c>
      <c r="J17" s="1"/>
      <c r="K17" s="1"/>
      <c r="L17" s="1"/>
      <c r="M17" s="1"/>
    </row>
    <row r="18" customFormat="false" ht="15" hidden="false" customHeight="false" outlineLevel="0" collapsed="false">
      <c r="A18" s="3" t="s">
        <v>655</v>
      </c>
      <c r="B18" s="4" t="n">
        <v>83</v>
      </c>
      <c r="C18" s="5" t="str">
        <f aca="false">IF(B18="","Sin puntaje",IF(B18&gt;=90,"Obra maestra (90+)",IF(B18&gt;=80,"Muy bueno (80-89)",IF(B18&gt;=70,"Bueno (70-79)","Regular (&lt;70)"))))</f>
        <v>Muy bueno (80-89)</v>
      </c>
      <c r="D18" s="33" t="n">
        <v>2008</v>
      </c>
      <c r="E18" s="6" t="s">
        <v>650</v>
      </c>
      <c r="F18" s="6" t="s">
        <v>81</v>
      </c>
      <c r="G18" s="6" t="s">
        <v>391</v>
      </c>
      <c r="H18" s="6" t="s">
        <v>645</v>
      </c>
      <c r="I18" s="7" t="str">
        <f aca="false">HYPERLINK("https://www.metacritic.com/game/rhythm-heaven/critic-reviews/","Metacritic DS")</f>
        <v>Metacritic DS</v>
      </c>
      <c r="J18" s="1"/>
      <c r="K18" s="1"/>
      <c r="L18" s="1"/>
      <c r="M18" s="1"/>
    </row>
    <row r="19" customFormat="false" ht="15" hidden="false" customHeight="false" outlineLevel="0" collapsed="false">
      <c r="A19" s="8" t="s">
        <v>656</v>
      </c>
      <c r="B19" s="9" t="n">
        <v>83</v>
      </c>
      <c r="C19" s="10" t="str">
        <f aca="false">IF(B19="","Sin puntaje",IF(B19&gt;=90,"Obra maestra (90+)",IF(B19&gt;=80,"Muy bueno (80-89)",IF(B19&gt;=70,"Bueno (70-79)","Regular (&lt;70)"))))</f>
        <v>Muy bueno (80-89)</v>
      </c>
      <c r="D19" s="34" t="n">
        <v>2010</v>
      </c>
      <c r="E19" s="11" t="s">
        <v>657</v>
      </c>
      <c r="F19" s="11" t="s">
        <v>13</v>
      </c>
      <c r="G19" s="11" t="s">
        <v>391</v>
      </c>
      <c r="H19" s="11"/>
      <c r="I19" s="12" t="str">
        <f aca="false">HYPERLINK("https://primagames.com/tips/ghost-trick-phantom-detective-metacritic-score-revealed","Metacritic DS")</f>
        <v>Metacritic DS</v>
      </c>
      <c r="J19" s="1"/>
      <c r="K19" s="1"/>
      <c r="L19" s="1"/>
      <c r="M19" s="1"/>
    </row>
    <row r="20" customFormat="false" ht="15" hidden="false" customHeight="false" outlineLevel="0" collapsed="false">
      <c r="A20" s="3" t="s">
        <v>658</v>
      </c>
      <c r="B20" s="4" t="n">
        <v>81</v>
      </c>
      <c r="C20" s="5" t="str">
        <f aca="false">IF(B20="","Sin puntaje",IF(B20&gt;=90,"Obra maestra (90+)",IF(B20&gt;=80,"Muy bueno (80-89)",IF(B20&gt;=70,"Bueno (70-79)","Regular (&lt;70)"))))</f>
        <v>Muy bueno (80-89)</v>
      </c>
      <c r="D20" s="33" t="n">
        <v>2007</v>
      </c>
      <c r="E20" s="6" t="s">
        <v>657</v>
      </c>
      <c r="F20" s="6" t="s">
        <v>13</v>
      </c>
      <c r="G20" s="6" t="s">
        <v>391</v>
      </c>
      <c r="H20" s="6" t="s">
        <v>659</v>
      </c>
      <c r="I20" s="7" t="str">
        <f aca="false">HYPERLINK("https://www.gamedeveloper.com/game-platforms/critical-reception-nintendo-level-5-s-i-professor-layton-and-the-curious-village-i-","Metacritic DS · dudoso")</f>
        <v>Metacritic DS · dudoso</v>
      </c>
      <c r="J20" s="1"/>
      <c r="K20" s="1"/>
      <c r="L20" s="1"/>
      <c r="M20" s="1"/>
    </row>
    <row r="21" customFormat="false" ht="15" hidden="false" customHeight="false" outlineLevel="0" collapsed="false">
      <c r="A21" s="8" t="s">
        <v>660</v>
      </c>
      <c r="B21" s="9" t="n">
        <v>76</v>
      </c>
      <c r="C21" s="10" t="str">
        <f aca="false">IF(B21="","Sin puntaje",IF(B21&gt;=90,"Obra maestra (90+)",IF(B21&gt;=80,"Muy bueno (80-89)",IF(B21&gt;=70,"Bueno (70-79)","Regular (&lt;70)"))))</f>
        <v>Bueno (70-79)</v>
      </c>
      <c r="D21" s="34" t="n">
        <v>2008</v>
      </c>
      <c r="E21" s="11" t="s">
        <v>429</v>
      </c>
      <c r="F21" s="11" t="s">
        <v>13</v>
      </c>
      <c r="G21" s="11" t="s">
        <v>391</v>
      </c>
      <c r="H21" s="11"/>
      <c r="I21" s="12" t="str">
        <f aca="false">HYPERLINK("https://www.metacritic.com/game/kirby-super-star-ultra/critic-reviews/","Metacritic DS")</f>
        <v>Metacritic DS</v>
      </c>
      <c r="J21" s="1"/>
      <c r="K21" s="1"/>
      <c r="L21" s="1"/>
      <c r="M21" s="1"/>
    </row>
    <row r="22" customFormat="false" ht="15" hidden="false" customHeight="false" outlineLevel="0" collapsed="false">
      <c r="A22" s="3" t="s">
        <v>661</v>
      </c>
      <c r="B22" s="4"/>
      <c r="C22" s="5" t="str">
        <f aca="false">IF(B22="","Sin puntaje",IF(B22&gt;=90,"Obra maestra (90+)",IF(B22&gt;=80,"Muy bueno (80-89)",IF(B22&gt;=70,"Bueno (70-79)","Regular (&lt;70)"))))</f>
        <v>Sin puntaje</v>
      </c>
      <c r="D22" s="33" t="n">
        <v>2005</v>
      </c>
      <c r="E22" s="6" t="s">
        <v>662</v>
      </c>
      <c r="F22" s="6" t="s">
        <v>13</v>
      </c>
      <c r="G22" s="6" t="s">
        <v>391</v>
      </c>
      <c r="H22" s="6"/>
      <c r="I22" s="13" t="s">
        <v>57</v>
      </c>
      <c r="J22" s="1"/>
      <c r="K22" s="1"/>
      <c r="L22" s="1"/>
      <c r="M22" s="1"/>
    </row>
    <row r="23" customFormat="false" ht="15" hidden="false" customHeight="false" outlineLevel="0" collapsed="false">
      <c r="A23" s="8" t="s">
        <v>663</v>
      </c>
      <c r="B23" s="9"/>
      <c r="C23" s="10" t="str">
        <f aca="false">IF(B23="","Sin puntaje",IF(B23&gt;=90,"Obra maestra (90+)",IF(B23&gt;=80,"Muy bueno (80-89)",IF(B23&gt;=70,"Bueno (70-79)","Regular (&lt;70)"))))</f>
        <v>Sin puntaje</v>
      </c>
      <c r="D23" s="34" t="n">
        <v>2007</v>
      </c>
      <c r="E23" s="11" t="s">
        <v>471</v>
      </c>
      <c r="F23" s="11" t="s">
        <v>81</v>
      </c>
      <c r="G23" s="11" t="s">
        <v>391</v>
      </c>
      <c r="H23" s="11" t="s">
        <v>664</v>
      </c>
      <c r="I23" s="14" t="s">
        <v>57</v>
      </c>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sheetData>
  <autoFilter ref="A3:I23"/>
  <conditionalFormatting sqref="B4:B23">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3">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3">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665</v>
      </c>
      <c r="B2" s="1"/>
      <c r="C2" s="1"/>
      <c r="D2" s="1"/>
      <c r="E2" s="1"/>
      <c r="F2" s="1"/>
      <c r="G2" s="1"/>
      <c r="H2" s="1"/>
      <c r="I2" s="1"/>
      <c r="J2" s="1"/>
      <c r="K2" s="1"/>
      <c r="L2" s="1"/>
      <c r="M2" s="1"/>
    </row>
    <row r="3" customFormat="false" ht="21.75" hidden="false" customHeight="true" outlineLevel="0" collapsed="false">
      <c r="A3" s="2" t="s">
        <v>0</v>
      </c>
      <c r="B3" s="2" t="s">
        <v>1</v>
      </c>
      <c r="C3" s="2" t="s">
        <v>2</v>
      </c>
      <c r="D3" s="2" t="s">
        <v>426</v>
      </c>
      <c r="E3" s="2" t="s">
        <v>427</v>
      </c>
      <c r="F3" s="2" t="s">
        <v>4</v>
      </c>
      <c r="G3" s="2" t="s">
        <v>381</v>
      </c>
      <c r="H3" s="2" t="s">
        <v>8</v>
      </c>
      <c r="I3" s="2" t="s">
        <v>9</v>
      </c>
      <c r="J3" s="1"/>
      <c r="K3" s="1"/>
      <c r="L3" s="1"/>
      <c r="M3" s="1"/>
    </row>
    <row r="4" customFormat="false" ht="15" hidden="false" customHeight="false" outlineLevel="0" collapsed="false">
      <c r="A4" s="3" t="s">
        <v>666</v>
      </c>
      <c r="B4" s="4" t="n">
        <v>91</v>
      </c>
      <c r="C4" s="5" t="str">
        <f aca="false">IF(B4="","Sin puntaje",IF(B4&gt;=90,"Obra maestra (90+)",IF(B4&gt;=80,"Muy bueno (80-89)",IF(B4&gt;=70,"Bueno (70-79)","Regular (&lt;70)"))))</f>
        <v>Obra maestra (90+)</v>
      </c>
      <c r="D4" s="33" t="n">
        <v>2008</v>
      </c>
      <c r="E4" s="6" t="s">
        <v>560</v>
      </c>
      <c r="F4" s="6" t="s">
        <v>81</v>
      </c>
      <c r="G4" s="6" t="s">
        <v>392</v>
      </c>
      <c r="H4" s="6" t="s">
        <v>124</v>
      </c>
      <c r="I4" s="7" t="str">
        <f aca="false">HYPERLINK("https://www.cbr.com/greatest-playstation-portable-games-ranked-by-metacritic/","Metacritic PSP")</f>
        <v>Metacritic PSP</v>
      </c>
      <c r="J4" s="1"/>
      <c r="K4" s="1"/>
      <c r="L4" s="1"/>
      <c r="M4" s="1"/>
    </row>
    <row r="5" customFormat="false" ht="15" hidden="false" customHeight="false" outlineLevel="0" collapsed="false">
      <c r="A5" s="8" t="s">
        <v>667</v>
      </c>
      <c r="B5" s="9" t="n">
        <v>89</v>
      </c>
      <c r="C5" s="10" t="str">
        <f aca="false">IF(B5="","Sin puntaje",IF(B5&gt;=90,"Obra maestra (90+)",IF(B5&gt;=80,"Muy bueno (80-89)",IF(B5&gt;=70,"Bueno (70-79)","Regular (&lt;70)"))))</f>
        <v>Muy bueno (80-89)</v>
      </c>
      <c r="D5" s="34" t="n">
        <v>2004</v>
      </c>
      <c r="E5" s="11" t="s">
        <v>453</v>
      </c>
      <c r="F5" s="11" t="s">
        <v>81</v>
      </c>
      <c r="G5" s="11" t="s">
        <v>392</v>
      </c>
      <c r="H5" s="11" t="s">
        <v>668</v>
      </c>
      <c r="I5" s="12" t="str">
        <f aca="false">HYPERLINK("https://www.vice.com/en/article/best-psp-games-of-all-time/","Metacritic PSP")</f>
        <v>Metacritic PSP</v>
      </c>
      <c r="J5" s="1"/>
      <c r="K5" s="1"/>
      <c r="L5" s="1"/>
      <c r="M5" s="1"/>
    </row>
    <row r="6" customFormat="false" ht="15" hidden="false" customHeight="false" outlineLevel="0" collapsed="false">
      <c r="A6" s="3" t="s">
        <v>669</v>
      </c>
      <c r="B6" s="4" t="n">
        <v>89</v>
      </c>
      <c r="C6" s="5" t="str">
        <f aca="false">IF(B6="","Sin puntaje",IF(B6&gt;=90,"Obra maestra (90+)",IF(B6&gt;=80,"Muy bueno (80-89)",IF(B6&gt;=70,"Bueno (70-79)","Regular (&lt;70)"))))</f>
        <v>Muy bueno (80-89)</v>
      </c>
      <c r="D6" s="33" t="n">
        <v>2009</v>
      </c>
      <c r="E6" s="6" t="s">
        <v>447</v>
      </c>
      <c r="F6" s="6" t="s">
        <v>81</v>
      </c>
      <c r="G6" s="6" t="s">
        <v>392</v>
      </c>
      <c r="H6" s="6"/>
      <c r="I6" s="7" t="str">
        <f aca="false">HYPERLINK("https://www.vice.com/en/article/best-psp-games-of-all-time/","Metacritic PSP")</f>
        <v>Metacritic PSP</v>
      </c>
      <c r="J6" s="1"/>
      <c r="K6" s="1"/>
      <c r="L6" s="1"/>
      <c r="M6" s="1"/>
    </row>
    <row r="7" customFormat="false" ht="15" hidden="false" customHeight="false" outlineLevel="0" collapsed="false">
      <c r="A7" s="8" t="s">
        <v>670</v>
      </c>
      <c r="B7" s="9" t="n">
        <v>88</v>
      </c>
      <c r="C7" s="10" t="str">
        <f aca="false">IF(B7="","Sin puntaje",IF(B7&gt;=90,"Obra maestra (90+)",IF(B7&gt;=80,"Muy bueno (80-89)",IF(B7&gt;=70,"Bueno (70-79)","Regular (&lt;70)"))))</f>
        <v>Muy bueno (80-89)</v>
      </c>
      <c r="D7" s="34" t="n">
        <v>2005</v>
      </c>
      <c r="E7" s="11" t="s">
        <v>560</v>
      </c>
      <c r="F7" s="11" t="s">
        <v>81</v>
      </c>
      <c r="G7" s="11" t="s">
        <v>392</v>
      </c>
      <c r="H7" s="11" t="s">
        <v>124</v>
      </c>
      <c r="I7" s="12" t="str">
        <f aca="false">HYPERLINK("https://dnyuz.com/2026/10/10/best-psp-games-of-all-time-top-10-ranked/","Metacritic PSP · dudoso")</f>
        <v>Metacritic PSP · dudoso</v>
      </c>
      <c r="J7" s="1"/>
      <c r="K7" s="1"/>
      <c r="L7" s="1"/>
      <c r="M7" s="1"/>
    </row>
    <row r="8" customFormat="false" ht="15" hidden="false" customHeight="false" outlineLevel="0" collapsed="false">
      <c r="A8" s="3" t="s">
        <v>671</v>
      </c>
      <c r="B8" s="4" t="n">
        <v>88</v>
      </c>
      <c r="C8" s="5" t="str">
        <f aca="false">IF(B8="","Sin puntaje",IF(B8&gt;=90,"Obra maestra (90+)",IF(B8&gt;=80,"Muy bueno (80-89)",IF(B8&gt;=70,"Bueno (70-79)","Regular (&lt;70)"))))</f>
        <v>Muy bueno (80-89)</v>
      </c>
      <c r="D8" s="33" t="n">
        <v>2005</v>
      </c>
      <c r="E8" s="6" t="s">
        <v>461</v>
      </c>
      <c r="F8" s="6" t="s">
        <v>81</v>
      </c>
      <c r="G8" s="6" t="s">
        <v>392</v>
      </c>
      <c r="H8" s="6"/>
      <c r="I8" s="7" t="str">
        <f aca="false">HYPERLINK("https://dnyuz.com/2026/10/10/best-psp-games-of-all-time-top-10-ranked/","Metacritic PSP")</f>
        <v>Metacritic PSP</v>
      </c>
      <c r="J8" s="1"/>
      <c r="K8" s="1"/>
      <c r="L8" s="1"/>
      <c r="M8" s="1"/>
    </row>
    <row r="9" customFormat="false" ht="15" hidden="false" customHeight="false" outlineLevel="0" collapsed="false">
      <c r="A9" s="8" t="s">
        <v>672</v>
      </c>
      <c r="B9" s="9" t="n">
        <v>88</v>
      </c>
      <c r="C9" s="10" t="str">
        <f aca="false">IF(B9="","Sin puntaje",IF(B9&gt;=90,"Obra maestra (90+)",IF(B9&gt;=80,"Muy bueno (80-89)",IF(B9&gt;=70,"Bueno (70-79)","Regular (&lt;70)"))))</f>
        <v>Muy bueno (80-89)</v>
      </c>
      <c r="D9" s="34" t="n">
        <v>2006</v>
      </c>
      <c r="E9" s="11" t="s">
        <v>465</v>
      </c>
      <c r="F9" s="11" t="s">
        <v>81</v>
      </c>
      <c r="G9" s="11" t="s">
        <v>392</v>
      </c>
      <c r="H9" s="11"/>
      <c r="I9" s="12" t="str">
        <f aca="false">HYPERLINK("https://dnyuz.com/2026/10/10/best-psp-games-of-all-time-top-10-ranked/","Metacritic PSP")</f>
        <v>Metacritic PSP</v>
      </c>
      <c r="J9" s="1"/>
      <c r="K9" s="1"/>
      <c r="L9" s="1"/>
      <c r="M9" s="1"/>
    </row>
    <row r="10" customFormat="false" ht="15" hidden="false" customHeight="false" outlineLevel="0" collapsed="false">
      <c r="A10" s="3" t="s">
        <v>673</v>
      </c>
      <c r="B10" s="4" t="n">
        <v>88</v>
      </c>
      <c r="C10" s="5" t="str">
        <f aca="false">IF(B10="","Sin puntaje",IF(B10&gt;=90,"Obra maestra (90+)",IF(B10&gt;=80,"Muy bueno (80-89)",IF(B10&gt;=70,"Bueno (70-79)","Regular (&lt;70)"))))</f>
        <v>Muy bueno (80-89)</v>
      </c>
      <c r="D10" s="33" t="n">
        <v>2007</v>
      </c>
      <c r="E10" s="6" t="s">
        <v>511</v>
      </c>
      <c r="F10" s="6" t="s">
        <v>81</v>
      </c>
      <c r="G10" s="6" t="s">
        <v>392</v>
      </c>
      <c r="H10" s="6" t="s">
        <v>668</v>
      </c>
      <c r="I10" s="7" t="str">
        <f aca="false">HYPERLINK("https://www.metacritic.com/game/psp/final-fantasy-tactics-the-war-of-the-lions/critic-reviews","Metacritic PSP")</f>
        <v>Metacritic PSP</v>
      </c>
      <c r="J10" s="1"/>
      <c r="K10" s="1"/>
      <c r="L10" s="1"/>
      <c r="M10" s="1"/>
    </row>
    <row r="11" customFormat="false" ht="15" hidden="false" customHeight="false" outlineLevel="0" collapsed="false">
      <c r="A11" s="8" t="s">
        <v>674</v>
      </c>
      <c r="B11" s="9" t="n">
        <v>87</v>
      </c>
      <c r="C11" s="10" t="str">
        <f aca="false">IF(B11="","Sin puntaje",IF(B11&gt;=90,"Obra maestra (90+)",IF(B11&gt;=80,"Muy bueno (80-89)",IF(B11&gt;=70,"Bueno (70-79)","Regular (&lt;70)"))))</f>
        <v>Muy bueno (80-89)</v>
      </c>
      <c r="D11" s="34" t="n">
        <v>2007</v>
      </c>
      <c r="E11" s="11" t="s">
        <v>511</v>
      </c>
      <c r="F11" s="11" t="s">
        <v>81</v>
      </c>
      <c r="G11" s="11" t="s">
        <v>392</v>
      </c>
      <c r="H11" s="11" t="s">
        <v>668</v>
      </c>
      <c r="I11" s="12" t="str">
        <f aca="false">HYPERLINK("https://www.thegamer.com/disgaea-best-games-metacritic/","Metacritic PSP")</f>
        <v>Metacritic PSP</v>
      </c>
      <c r="J11" s="1"/>
      <c r="K11" s="1"/>
      <c r="L11" s="1"/>
      <c r="M11" s="1"/>
    </row>
    <row r="12" customFormat="false" ht="15" hidden="false" customHeight="false" outlineLevel="0" collapsed="false">
      <c r="A12" s="3" t="s">
        <v>675</v>
      </c>
      <c r="B12" s="4" t="n">
        <v>86</v>
      </c>
      <c r="C12" s="5" t="str">
        <f aca="false">IF(B12="","Sin puntaje",IF(B12&gt;=90,"Obra maestra (90+)",IF(B12&gt;=80,"Muy bueno (80-89)",IF(B12&gt;=70,"Bueno (70-79)","Regular (&lt;70)"))))</f>
        <v>Muy bueno (80-89)</v>
      </c>
      <c r="D12" s="33" t="n">
        <v>2006</v>
      </c>
      <c r="E12" s="6" t="s">
        <v>560</v>
      </c>
      <c r="F12" s="6" t="s">
        <v>81</v>
      </c>
      <c r="G12" s="6" t="s">
        <v>392</v>
      </c>
      <c r="H12" s="6" t="s">
        <v>124</v>
      </c>
      <c r="I12" s="7" t="str">
        <f aca="false">HYPERLINK("https://www.metacritic.com/game/psp/grand-theft-auto-vice-city-stories/critic-reviews","Metacritic PSP")</f>
        <v>Metacritic PSP</v>
      </c>
      <c r="J12" s="1"/>
      <c r="K12" s="1"/>
      <c r="L12" s="1"/>
      <c r="M12" s="1"/>
    </row>
    <row r="13" customFormat="false" ht="15" hidden="false" customHeight="false" outlineLevel="0" collapsed="false">
      <c r="A13" s="8" t="s">
        <v>676</v>
      </c>
      <c r="B13" s="9" t="n">
        <v>86</v>
      </c>
      <c r="C13" s="10" t="str">
        <f aca="false">IF(B13="","Sin puntaje",IF(B13&gt;=90,"Obra maestra (90+)",IF(B13&gt;=80,"Muy bueno (80-89)",IF(B13&gt;=70,"Bueno (70-79)","Regular (&lt;70)"))))</f>
        <v>Muy bueno (80-89)</v>
      </c>
      <c r="D13" s="34" t="n">
        <v>2007</v>
      </c>
      <c r="E13" s="11" t="s">
        <v>677</v>
      </c>
      <c r="F13" s="11" t="s">
        <v>81</v>
      </c>
      <c r="G13" s="11" t="s">
        <v>392</v>
      </c>
      <c r="H13" s="11" t="s">
        <v>668</v>
      </c>
      <c r="I13" s="12" t="str">
        <f aca="false">HYPERLINK("https://www.thesixthaxis.com/?p=99324","Metacritic PSP")</f>
        <v>Metacritic PSP</v>
      </c>
      <c r="J13" s="1"/>
      <c r="K13" s="1"/>
      <c r="L13" s="1"/>
      <c r="M13" s="1"/>
    </row>
    <row r="14" customFormat="false" ht="15" hidden="false" customHeight="false" outlineLevel="0" collapsed="false">
      <c r="A14" s="3" t="s">
        <v>678</v>
      </c>
      <c r="B14" s="4" t="n">
        <v>86</v>
      </c>
      <c r="C14" s="5" t="str">
        <f aca="false">IF(B14="","Sin puntaje",IF(B14&gt;=90,"Obra maestra (90+)",IF(B14&gt;=80,"Muy bueno (80-89)",IF(B14&gt;=70,"Bueno (70-79)","Regular (&lt;70)"))))</f>
        <v>Muy bueno (80-89)</v>
      </c>
      <c r="D14" s="33" t="n">
        <v>2010</v>
      </c>
      <c r="E14" s="6" t="s">
        <v>560</v>
      </c>
      <c r="F14" s="6" t="s">
        <v>81</v>
      </c>
      <c r="G14" s="6" t="s">
        <v>392</v>
      </c>
      <c r="H14" s="6" t="s">
        <v>124</v>
      </c>
      <c r="I14" s="7" t="str">
        <f aca="false">HYPERLINK("https://twinfinite.net/guides/god-of-war-games-ranked-metacritic/","Metacritic PSP")</f>
        <v>Metacritic PSP</v>
      </c>
      <c r="J14" s="1"/>
      <c r="K14" s="1"/>
      <c r="L14" s="1"/>
      <c r="M14" s="1"/>
    </row>
    <row r="15" customFormat="false" ht="15" hidden="false" customHeight="false" outlineLevel="0" collapsed="false">
      <c r="A15" s="8" t="s">
        <v>679</v>
      </c>
      <c r="B15" s="9" t="n">
        <v>85</v>
      </c>
      <c r="C15" s="10" t="str">
        <f aca="false">IF(B15="","Sin puntaje",IF(B15&gt;=90,"Obra maestra (90+)",IF(B15&gt;=80,"Muy bueno (80-89)",IF(B15&gt;=70,"Bueno (70-79)","Regular (&lt;70)"))))</f>
        <v>Muy bueno (80-89)</v>
      </c>
      <c r="D15" s="34" t="n">
        <v>2006</v>
      </c>
      <c r="E15" s="11" t="s">
        <v>429</v>
      </c>
      <c r="F15" s="11" t="s">
        <v>81</v>
      </c>
      <c r="G15" s="11" t="s">
        <v>392</v>
      </c>
      <c r="H15" s="11"/>
      <c r="I15" s="12" t="str">
        <f aca="false">HYPERLINK("https://screenrant.com/best-psp-games-all-time/","Metacritic PSP")</f>
        <v>Metacritic PSP</v>
      </c>
      <c r="J15" s="1"/>
      <c r="K15" s="1"/>
      <c r="L15" s="1"/>
      <c r="M15" s="1"/>
    </row>
    <row r="16" customFormat="false" ht="15" hidden="false" customHeight="false" outlineLevel="0" collapsed="false">
      <c r="A16" s="3" t="s">
        <v>680</v>
      </c>
      <c r="B16" s="4" t="n">
        <v>83</v>
      </c>
      <c r="C16" s="5" t="str">
        <f aca="false">IF(B16="","Sin puntaje",IF(B16&gt;=90,"Obra maestra (90+)",IF(B16&gt;=80,"Muy bueno (80-89)",IF(B16&gt;=70,"Bueno (70-79)","Regular (&lt;70)"))))</f>
        <v>Muy bueno (80-89)</v>
      </c>
      <c r="D16" s="33" t="n">
        <v>2007</v>
      </c>
      <c r="E16" s="6" t="s">
        <v>471</v>
      </c>
      <c r="F16" s="6" t="s">
        <v>81</v>
      </c>
      <c r="G16" s="6" t="s">
        <v>392</v>
      </c>
      <c r="H16" s="6" t="s">
        <v>124</v>
      </c>
      <c r="I16" s="7" t="str">
        <f aca="false">HYPERLINK("https://es.vgtimes.com/games/crisis-core-final-fantasy-vii/","Metacritic PSP")</f>
        <v>Metacritic PSP</v>
      </c>
      <c r="J16" s="1"/>
      <c r="K16" s="1"/>
      <c r="L16" s="1"/>
      <c r="M16" s="1"/>
    </row>
    <row r="17" customFormat="false" ht="15" hidden="false" customHeight="false" outlineLevel="0" collapsed="false">
      <c r="A17" s="8" t="s">
        <v>681</v>
      </c>
      <c r="B17" s="9" t="n">
        <v>83</v>
      </c>
      <c r="C17" s="10" t="str">
        <f aca="false">IF(B17="","Sin puntaje",IF(B17&gt;=90,"Obra maestra (90+)",IF(B17&gt;=80,"Muy bueno (80-89)",IF(B17&gt;=70,"Bueno (70-79)","Regular (&lt;70)"))))</f>
        <v>Muy bueno (80-89)</v>
      </c>
      <c r="D17" s="34" t="n">
        <v>2010</v>
      </c>
      <c r="E17" s="11" t="s">
        <v>682</v>
      </c>
      <c r="F17" s="11" t="s">
        <v>81</v>
      </c>
      <c r="G17" s="11" t="s">
        <v>392</v>
      </c>
      <c r="H17" s="11"/>
      <c r="I17" s="12" t="str">
        <f aca="false">HYPERLINK("https://rawg.io/games/metal-gear-acd/suggestions","Metacritic PSP · dudoso")</f>
        <v>Metacritic PSP · dudoso</v>
      </c>
      <c r="J17" s="1"/>
      <c r="K17" s="1"/>
      <c r="L17" s="1"/>
      <c r="M17" s="1"/>
    </row>
    <row r="18" customFormat="false" ht="15" hidden="false" customHeight="false" outlineLevel="0" collapsed="false">
      <c r="A18" s="3" t="s">
        <v>683</v>
      </c>
      <c r="B18" s="4" t="n">
        <v>82</v>
      </c>
      <c r="C18" s="5" t="str">
        <f aca="false">IF(B18="","Sin puntaje",IF(B18&gt;=90,"Obra maestra (90+)",IF(B18&gt;=80,"Muy bueno (80-89)",IF(B18&gt;=70,"Bueno (70-79)","Regular (&lt;70)"))))</f>
        <v>Muy bueno (80-89)</v>
      </c>
      <c r="D18" s="33" t="n">
        <v>2010</v>
      </c>
      <c r="E18" s="6" t="s">
        <v>471</v>
      </c>
      <c r="F18" s="6" t="s">
        <v>81</v>
      </c>
      <c r="G18" s="6" t="s">
        <v>392</v>
      </c>
      <c r="H18" s="6" t="s">
        <v>124</v>
      </c>
      <c r="I18" s="7" t="str">
        <f aca="false">HYPERLINK("https://twinfinite.net/2019/01/8-best-kingdom-hearts-games-of-all-time-according-to-metacritic/","Metacritic PSP · dudoso")</f>
        <v>Metacritic PSP · dudoso</v>
      </c>
      <c r="J18" s="1"/>
      <c r="K18" s="1"/>
      <c r="L18" s="1"/>
      <c r="M18" s="1"/>
    </row>
    <row r="19" customFormat="false" ht="15" hidden="false" customHeight="false" outlineLevel="0" collapsed="false">
      <c r="A19" s="8" t="s">
        <v>684</v>
      </c>
      <c r="B19" s="9" t="n">
        <v>81</v>
      </c>
      <c r="C19" s="10" t="str">
        <f aca="false">IF(B19="","Sin puntaje",IF(B19&gt;=90,"Obra maestra (90+)",IF(B19&gt;=80,"Muy bueno (80-89)",IF(B19&gt;=70,"Bueno (70-79)","Regular (&lt;70)"))))</f>
        <v>Muy bueno (80-89)</v>
      </c>
      <c r="D19" s="34" t="n">
        <v>2008</v>
      </c>
      <c r="E19" s="11" t="s">
        <v>677</v>
      </c>
      <c r="F19" s="11" t="s">
        <v>81</v>
      </c>
      <c r="G19" s="11" t="s">
        <v>392</v>
      </c>
      <c r="H19" s="11" t="s">
        <v>668</v>
      </c>
      <c r="I19" s="12" t="str">
        <f aca="false">HYPERLINK("https://www.metacritic.com/browse/games/genre/metascore/action/psp?view=detailed","Metacritic PSP")</f>
        <v>Metacritic PSP</v>
      </c>
      <c r="J19" s="1"/>
      <c r="K19" s="1"/>
      <c r="L19" s="1"/>
      <c r="M19" s="1"/>
    </row>
    <row r="20" customFormat="false" ht="15" hidden="false" customHeight="false" outlineLevel="0" collapsed="false">
      <c r="A20" s="3" t="s">
        <v>685</v>
      </c>
      <c r="B20" s="4" t="n">
        <v>81</v>
      </c>
      <c r="C20" s="5" t="str">
        <f aca="false">IF(B20="","Sin puntaje",IF(B20&gt;=90,"Obra maestra (90+)",IF(B20&gt;=80,"Muy bueno (80-89)",IF(B20&gt;=70,"Bueno (70-79)","Regular (&lt;70)"))))</f>
        <v>Muy bueno (80-89)</v>
      </c>
      <c r="D20" s="33" t="n">
        <v>2009</v>
      </c>
      <c r="E20" s="6" t="s">
        <v>560</v>
      </c>
      <c r="F20" s="6" t="s">
        <v>81</v>
      </c>
      <c r="G20" s="6" t="s">
        <v>392</v>
      </c>
      <c r="H20" s="6" t="s">
        <v>686</v>
      </c>
      <c r="I20" s="7" t="str">
        <f aca="false">HYPERLINK("https://www.siliconera.com/?p=48990","Metacritic PSP")</f>
        <v>Metacritic PSP</v>
      </c>
      <c r="J20" s="1"/>
      <c r="K20" s="1"/>
      <c r="L20" s="1"/>
      <c r="M20" s="1"/>
    </row>
    <row r="21" customFormat="false" ht="15" hidden="false" customHeight="false" outlineLevel="0" collapsed="false">
      <c r="A21" s="8" t="s">
        <v>687</v>
      </c>
      <c r="B21" s="9" t="n">
        <v>79</v>
      </c>
      <c r="C21" s="10" t="str">
        <f aca="false">IF(B21="","Sin puntaje",IF(B21&gt;=90,"Obra maestra (90+)",IF(B21&gt;=80,"Muy bueno (80-89)",IF(B21&gt;=70,"Bueno (70-79)","Regular (&lt;70)"))))</f>
        <v>Bueno (70-79)</v>
      </c>
      <c r="D21" s="34" t="n">
        <v>2008</v>
      </c>
      <c r="E21" s="11" t="s">
        <v>465</v>
      </c>
      <c r="F21" s="11" t="s">
        <v>81</v>
      </c>
      <c r="G21" s="11" t="s">
        <v>392</v>
      </c>
      <c r="H21" s="11" t="s">
        <v>124</v>
      </c>
      <c r="I21" s="12" t="str">
        <f aca="false">HYPERLINK("https://www.metacritic.com/game/dissidia-final-fantasy/critic-reviews/?platform=psp","Metacritic PSP")</f>
        <v>Metacritic PSP</v>
      </c>
      <c r="J21" s="1"/>
      <c r="K21" s="1"/>
      <c r="L21" s="1"/>
      <c r="M21" s="1"/>
    </row>
    <row r="22" customFormat="false" ht="15" hidden="false" customHeight="false" outlineLevel="0" collapsed="false">
      <c r="A22" s="3" t="s">
        <v>688</v>
      </c>
      <c r="B22" s="4" t="n">
        <v>78</v>
      </c>
      <c r="C22" s="5" t="str">
        <f aca="false">IF(B22="","Sin puntaje",IF(B22&gt;=90,"Obra maestra (90+)",IF(B22&gt;=80,"Muy bueno (80-89)",IF(B22&gt;=70,"Bueno (70-79)","Regular (&lt;70)"))))</f>
        <v>Bueno (70-79)</v>
      </c>
      <c r="D22" s="33" t="n">
        <v>2007</v>
      </c>
      <c r="E22" s="6" t="s">
        <v>609</v>
      </c>
      <c r="F22" s="6" t="s">
        <v>81</v>
      </c>
      <c r="G22" s="6" t="s">
        <v>392</v>
      </c>
      <c r="H22" s="6" t="s">
        <v>689</v>
      </c>
      <c r="I22" s="7" t="str">
        <f aca="false">HYPERLINK("https://www.levelup.com/noticias/cuales-son-los-mejores-silent-hill-de-la-historia-segun-metacritic/","Metacritic PSP")</f>
        <v>Metacritic PSP</v>
      </c>
      <c r="J22" s="1"/>
      <c r="K22" s="1"/>
      <c r="L22" s="1"/>
      <c r="M22" s="1"/>
    </row>
    <row r="23" customFormat="false" ht="15" hidden="false" customHeight="false" outlineLevel="0" collapsed="false">
      <c r="A23" s="8" t="s">
        <v>690</v>
      </c>
      <c r="B23" s="9"/>
      <c r="C23" s="10" t="str">
        <f aca="false">IF(B23="","Sin puntaje",IF(B23&gt;=90,"Obra maestra (90+)",IF(B23&gt;=80,"Muy bueno (80-89)",IF(B23&gt;=70,"Bueno (70-79)","Regular (&lt;70)"))))</f>
        <v>Sin puntaje</v>
      </c>
      <c r="D23" s="34" t="n">
        <v>2010</v>
      </c>
      <c r="E23" s="11" t="s">
        <v>597</v>
      </c>
      <c r="F23" s="11" t="s">
        <v>81</v>
      </c>
      <c r="G23" s="11" t="s">
        <v>392</v>
      </c>
      <c r="H23" s="11" t="s">
        <v>124</v>
      </c>
      <c r="I23" s="14" t="s">
        <v>57</v>
      </c>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sheetData>
  <autoFilter ref="A3:I23"/>
  <conditionalFormatting sqref="B4:B23">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3">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3">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O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4"/>
    <col collapsed="false" customWidth="true" hidden="false" outlineLevel="0" max="6" min="6" style="0" width="18"/>
    <col collapsed="false" customWidth="true" hidden="false" outlineLevel="0" max="7" min="7" style="0" width="40"/>
    <col collapsed="false" customWidth="true" hidden="false" outlineLevel="0" max="8" min="8" style="0" width="20"/>
    <col collapsed="false" customWidth="true" hidden="false" outlineLevel="0" max="9" min="9" style="0" width="13"/>
    <col collapsed="false" customWidth="true" hidden="false" outlineLevel="0" max="10" min="10" style="0" width="46"/>
    <col collapsed="false" customWidth="true" hidden="false" outlineLevel="0" max="11" min="11" style="0" width="26"/>
  </cols>
  <sheetData>
    <row r="1" customFormat="false" ht="75.75" hidden="false" customHeight="true" outlineLevel="0" collapsed="false">
      <c r="A1" s="1"/>
      <c r="B1" s="1"/>
      <c r="C1" s="1"/>
      <c r="D1" s="1"/>
      <c r="E1" s="1"/>
      <c r="F1" s="1"/>
      <c r="G1" s="1"/>
      <c r="H1" s="1"/>
      <c r="I1" s="1"/>
      <c r="J1" s="1"/>
      <c r="K1" s="1"/>
      <c r="L1" s="1"/>
      <c r="M1" s="1"/>
      <c r="N1" s="1"/>
      <c r="O1" s="1"/>
    </row>
    <row r="2" customFormat="false" ht="18" hidden="false" customHeight="true" outlineLevel="0" collapsed="false">
      <c r="A2" s="35" t="s">
        <v>691</v>
      </c>
      <c r="B2" s="1"/>
      <c r="C2" s="1"/>
      <c r="D2" s="1"/>
      <c r="E2" s="1"/>
      <c r="F2" s="1"/>
      <c r="G2" s="1"/>
      <c r="H2" s="1"/>
      <c r="I2" s="1"/>
      <c r="J2" s="1"/>
      <c r="K2" s="1"/>
      <c r="L2" s="1"/>
      <c r="M2" s="1"/>
      <c r="N2" s="1"/>
      <c r="O2" s="1"/>
    </row>
    <row r="3" customFormat="false" ht="21.75" hidden="false" customHeight="true" outlineLevel="0" collapsed="false">
      <c r="A3" s="2" t="s">
        <v>0</v>
      </c>
      <c r="B3" s="2" t="s">
        <v>1</v>
      </c>
      <c r="C3" s="2" t="s">
        <v>2</v>
      </c>
      <c r="D3" s="2" t="s">
        <v>426</v>
      </c>
      <c r="E3" s="2" t="s">
        <v>427</v>
      </c>
      <c r="F3" s="2" t="s">
        <v>4</v>
      </c>
      <c r="G3" s="2" t="s">
        <v>692</v>
      </c>
      <c r="H3" s="2" t="s">
        <v>693</v>
      </c>
      <c r="I3" s="2" t="s">
        <v>694</v>
      </c>
      <c r="J3" s="2" t="s">
        <v>8</v>
      </c>
      <c r="K3" s="2" t="s">
        <v>9</v>
      </c>
      <c r="L3" s="1"/>
      <c r="M3" s="1"/>
      <c r="N3" s="1"/>
      <c r="O3" s="1"/>
    </row>
    <row r="4" customFormat="false" ht="23.85" hidden="false" customHeight="false" outlineLevel="0" collapsed="false">
      <c r="A4" s="3" t="s">
        <v>280</v>
      </c>
      <c r="B4" s="4" t="n">
        <v>94</v>
      </c>
      <c r="C4" s="5" t="str">
        <f aca="false">IF(B4="","Sin puntaje",IF(B4&gt;=90,"Obra maestra (90+)",IF(B4&gt;=80,"Muy bueno (80-89)",IF(B4&gt;=70,"Bueno (70-79)","Regular (&lt;70)"))))</f>
        <v>Obra maestra (90+)</v>
      </c>
      <c r="D4" s="33" t="n">
        <v>2010</v>
      </c>
      <c r="E4" s="6" t="s">
        <v>461</v>
      </c>
      <c r="F4" s="6" t="s">
        <v>103</v>
      </c>
      <c r="G4" s="7" t="str">
        <f aca="false">HYPERLINK("https://github.com/CHUTA7X/Real-Racing-2-Vita-Port-Release","Adaptar el port de PS Vita (cargador de Android)")</f>
        <v>Adaptar el port de PS Vita (cargador de Android)</v>
      </c>
      <c r="H4" s="6" t="s">
        <v>695</v>
      </c>
      <c r="I4" s="6" t="s">
        <v>696</v>
      </c>
      <c r="J4" s="6" t="s">
        <v>697</v>
      </c>
      <c r="K4" s="7" t="str">
        <f aca="false">HYPERLINK("https://en.wikipedia.org/wiki/Real_Racing_2","Metacritic iOS (versión HD)")</f>
        <v>Metacritic iOS (versión HD)</v>
      </c>
      <c r="L4" s="1"/>
      <c r="M4" s="1"/>
      <c r="N4" s="1"/>
      <c r="O4" s="1"/>
    </row>
    <row r="5" customFormat="false" ht="15" hidden="false" customHeight="false" outlineLevel="0" collapsed="false">
      <c r="A5" s="8" t="s">
        <v>698</v>
      </c>
      <c r="B5" s="9" t="n">
        <v>93</v>
      </c>
      <c r="C5" s="10" t="str">
        <f aca="false">IF(B5="","Sin puntaje",IF(B5&gt;=90,"Obra maestra (90+)",IF(B5&gt;=80,"Muy bueno (80-89)",IF(B5&gt;=70,"Bueno (70-79)","Regular (&lt;70)"))))</f>
        <v>Obra maestra (90+)</v>
      </c>
      <c r="D5" s="34" t="n">
        <v>2015</v>
      </c>
      <c r="E5" s="11" t="s">
        <v>560</v>
      </c>
      <c r="F5" s="11" t="s">
        <v>699</v>
      </c>
      <c r="G5" s="11" t="s">
        <v>700</v>
      </c>
      <c r="H5" s="11" t="s">
        <v>701</v>
      </c>
      <c r="I5" s="11" t="s">
        <v>701</v>
      </c>
      <c r="J5" s="11"/>
      <c r="K5" s="12" t="str">
        <f aca="false">HYPERLINK("https://www.metacritic.com/game/implosion-never-lose-hope/","Metacritic iOS")</f>
        <v>Metacritic iOS</v>
      </c>
      <c r="L5" s="1"/>
      <c r="M5" s="1"/>
      <c r="N5" s="1"/>
      <c r="O5" s="1"/>
    </row>
    <row r="6" customFormat="false" ht="23.85" hidden="false" customHeight="false" outlineLevel="0" collapsed="false">
      <c r="A6" s="3" t="s">
        <v>702</v>
      </c>
      <c r="B6" s="4" t="n">
        <v>93</v>
      </c>
      <c r="C6" s="5" t="str">
        <f aca="false">IF(B6="","Sin puntaje",IF(B6&gt;=90,"Obra maestra (90+)",IF(B6&gt;=80,"Muy bueno (80-89)",IF(B6&gt;=70,"Bueno (70-79)","Regular (&lt;70)"))))</f>
        <v>Obra maestra (90+)</v>
      </c>
      <c r="D6" s="33" t="n">
        <v>2016</v>
      </c>
      <c r="E6" s="6" t="s">
        <v>703</v>
      </c>
      <c r="F6" s="6" t="s">
        <v>13</v>
      </c>
      <c r="G6" s="6" t="s">
        <v>704</v>
      </c>
      <c r="H6" s="6" t="s">
        <v>701</v>
      </c>
      <c r="I6" s="6" t="s">
        <v>701</v>
      </c>
      <c r="J6" s="6"/>
      <c r="K6" s="7" t="str">
        <f aca="false">HYPERLINK("https://en.wikipedia.org/wiki/Crashlands","Metacritic iOS")</f>
        <v>Metacritic iOS</v>
      </c>
      <c r="L6" s="1"/>
      <c r="M6" s="1"/>
      <c r="N6" s="1"/>
      <c r="O6" s="1"/>
    </row>
    <row r="7" customFormat="false" ht="15" hidden="false" customHeight="false" outlineLevel="0" collapsed="false">
      <c r="A7" s="8" t="s">
        <v>705</v>
      </c>
      <c r="B7" s="9" t="n">
        <v>92</v>
      </c>
      <c r="C7" s="10" t="str">
        <f aca="false">IF(B7="","Sin puntaje",IF(B7&gt;=90,"Obra maestra (90+)",IF(B7&gt;=80,"Muy bueno (80-89)",IF(B7&gt;=70,"Bueno (70-79)","Regular (&lt;70)"))))</f>
        <v>Obra maestra (90+)</v>
      </c>
      <c r="D7" s="34" t="n">
        <v>2014</v>
      </c>
      <c r="E7" s="11" t="s">
        <v>453</v>
      </c>
      <c r="F7" s="11" t="s">
        <v>699</v>
      </c>
      <c r="G7" s="11" t="s">
        <v>700</v>
      </c>
      <c r="H7" s="11" t="s">
        <v>701</v>
      </c>
      <c r="I7" s="11" t="s">
        <v>701</v>
      </c>
      <c r="J7" s="11" t="s">
        <v>706</v>
      </c>
      <c r="K7" s="12" t="str">
        <f aca="false">HYPERLINK("https://gamespot.com/articles/threes-wins-apple-game-of-the-year/1100-6424065/","Metacritic iOS")</f>
        <v>Metacritic iOS</v>
      </c>
      <c r="L7" s="1"/>
      <c r="M7" s="1"/>
      <c r="N7" s="1"/>
      <c r="O7" s="1"/>
    </row>
    <row r="8" customFormat="false" ht="23.85" hidden="false" customHeight="false" outlineLevel="0" collapsed="false">
      <c r="A8" s="3" t="s">
        <v>707</v>
      </c>
      <c r="B8" s="4" t="n">
        <v>92</v>
      </c>
      <c r="C8" s="5" t="str">
        <f aca="false">IF(B8="","Sin puntaje",IF(B8&gt;=90,"Obra maestra (90+)",IF(B8&gt;=80,"Muy bueno (80-89)",IF(B8&gt;=70,"Bueno (70-79)","Regular (&lt;70)"))))</f>
        <v>Obra maestra (90+)</v>
      </c>
      <c r="D8" s="33" t="n">
        <v>2014</v>
      </c>
      <c r="E8" s="6" t="s">
        <v>511</v>
      </c>
      <c r="F8" s="6" t="s">
        <v>699</v>
      </c>
      <c r="G8" s="6" t="s">
        <v>700</v>
      </c>
      <c r="H8" s="6" t="s">
        <v>701</v>
      </c>
      <c r="I8" s="6" t="s">
        <v>696</v>
      </c>
      <c r="J8" s="6" t="s">
        <v>708</v>
      </c>
      <c r="K8" s="7" t="str">
        <f aca="false">HYPERLINK("https://www.metacritic.com/game/xcom-enemy-within/critic-reviews/?platform=ios-iphoneipad","Metacritic iOS")</f>
        <v>Metacritic iOS</v>
      </c>
      <c r="L8" s="1"/>
      <c r="M8" s="1"/>
      <c r="N8" s="1"/>
      <c r="O8" s="1"/>
    </row>
    <row r="9" customFormat="false" ht="15" hidden="false" customHeight="false" outlineLevel="0" collapsed="false">
      <c r="A9" s="8" t="s">
        <v>709</v>
      </c>
      <c r="B9" s="9" t="n">
        <v>92</v>
      </c>
      <c r="C9" s="10" t="str">
        <f aca="false">IF(B9="","Sin puntaje",IF(B9&gt;=90,"Obra maestra (90+)",IF(B9&gt;=80,"Muy bueno (80-89)",IF(B9&gt;=70,"Bueno (70-79)","Regular (&lt;70)"))))</f>
        <v>Obra maestra (90+)</v>
      </c>
      <c r="D9" s="34" t="n">
        <v>2015</v>
      </c>
      <c r="E9" s="11" t="s">
        <v>710</v>
      </c>
      <c r="F9" s="11" t="s">
        <v>699</v>
      </c>
      <c r="G9" s="11" t="s">
        <v>700</v>
      </c>
      <c r="H9" s="11" t="s">
        <v>701</v>
      </c>
      <c r="I9" s="11" t="s">
        <v>701</v>
      </c>
      <c r="J9" s="11" t="s">
        <v>706</v>
      </c>
      <c r="K9" s="12" t="str">
        <f aca="false">HYPERLINK("https://www.metacritic.com/game/altos-adventure/","Metacritic iOS")</f>
        <v>Metacritic iOS</v>
      </c>
      <c r="L9" s="1"/>
      <c r="M9" s="1"/>
      <c r="N9" s="1"/>
      <c r="O9" s="1"/>
    </row>
    <row r="10" customFormat="false" ht="35.05" hidden="false" customHeight="false" outlineLevel="0" collapsed="false">
      <c r="A10" s="3" t="s">
        <v>711</v>
      </c>
      <c r="B10" s="4" t="n">
        <v>91</v>
      </c>
      <c r="C10" s="5" t="str">
        <f aca="false">IF(B10="","Sin puntaje",IF(B10&gt;=90,"Obra maestra (90+)",IF(B10&gt;=80,"Muy bueno (80-89)",IF(B10&gt;=70,"Bueno (70-79)","Regular (&lt;70)"))))</f>
        <v>Obra maestra (90+)</v>
      </c>
      <c r="D10" s="33" t="n">
        <v>2013</v>
      </c>
      <c r="E10" s="6" t="s">
        <v>712</v>
      </c>
      <c r="F10" s="6" t="s">
        <v>699</v>
      </c>
      <c r="G10" s="6" t="s">
        <v>700</v>
      </c>
      <c r="H10" s="6" t="s">
        <v>695</v>
      </c>
      <c r="I10" s="6" t="s">
        <v>696</v>
      </c>
      <c r="J10" s="6" t="s">
        <v>713</v>
      </c>
      <c r="K10" s="7" t="str">
        <f aca="false">HYPERLINK("https://vgtimes.com/games/ridiculous-fishing/","Metacritic iOS · dudoso")</f>
        <v>Metacritic iOS · dudoso</v>
      </c>
      <c r="L10" s="1"/>
      <c r="M10" s="1"/>
      <c r="N10" s="1"/>
      <c r="O10" s="1"/>
    </row>
    <row r="11" customFormat="false" ht="23.85" hidden="false" customHeight="false" outlineLevel="0" collapsed="false">
      <c r="A11" s="8" t="s">
        <v>714</v>
      </c>
      <c r="B11" s="9" t="n">
        <v>91</v>
      </c>
      <c r="C11" s="10" t="str">
        <f aca="false">IF(B11="","Sin puntaje",IF(B11&gt;=90,"Obra maestra (90+)",IF(B11&gt;=80,"Muy bueno (80-89)",IF(B11&gt;=70,"Bueno (70-79)","Regular (&lt;70)"))))</f>
        <v>Obra maestra (90+)</v>
      </c>
      <c r="D11" s="34" t="n">
        <v>2017</v>
      </c>
      <c r="E11" s="11" t="s">
        <v>453</v>
      </c>
      <c r="F11" s="11" t="s">
        <v>699</v>
      </c>
      <c r="G11" s="11" t="s">
        <v>700</v>
      </c>
      <c r="H11" s="11" t="s">
        <v>701</v>
      </c>
      <c r="I11" s="11" t="s">
        <v>696</v>
      </c>
      <c r="J11" s="11" t="s">
        <v>715</v>
      </c>
      <c r="K11" s="12" t="str">
        <f aca="false">HYPERLINK("https://en.wikipedia.org/wiki/Gorogoa","Metacritic iOS · dudoso")</f>
        <v>Metacritic iOS · dudoso</v>
      </c>
      <c r="L11" s="1"/>
      <c r="M11" s="1"/>
      <c r="N11" s="1"/>
      <c r="O11" s="1"/>
    </row>
    <row r="12" customFormat="false" ht="35.05" hidden="false" customHeight="false" outlineLevel="0" collapsed="false">
      <c r="A12" s="3" t="s">
        <v>716</v>
      </c>
      <c r="B12" s="4" t="n">
        <v>90</v>
      </c>
      <c r="C12" s="5" t="str">
        <f aca="false">IF(B12="","Sin puntaje",IF(B12&gt;=90,"Obra maestra (90+)",IF(B12&gt;=80,"Muy bueno (80-89)",IF(B12&gt;=70,"Bueno (70-79)","Regular (&lt;70)"))))</f>
        <v>Obra maestra (90+)</v>
      </c>
      <c r="D12" s="33" t="n">
        <v>2015</v>
      </c>
      <c r="E12" s="6" t="s">
        <v>657</v>
      </c>
      <c r="F12" s="6" t="s">
        <v>699</v>
      </c>
      <c r="G12" s="6" t="s">
        <v>700</v>
      </c>
      <c r="H12" s="6" t="s">
        <v>701</v>
      </c>
      <c r="I12" s="6" t="s">
        <v>701</v>
      </c>
      <c r="J12" s="6" t="s">
        <v>717</v>
      </c>
      <c r="K12" s="7" t="str">
        <f aca="false">HYPERLINK("https://legacy.prod.metacritic.com/game/ios/the-room-three","Metacritic iOS")</f>
        <v>Metacritic iOS</v>
      </c>
      <c r="L12" s="1"/>
      <c r="M12" s="1"/>
      <c r="N12" s="1"/>
      <c r="O12" s="1"/>
    </row>
    <row r="13" customFormat="false" ht="15" hidden="false" customHeight="false" outlineLevel="0" collapsed="false">
      <c r="A13" s="8" t="s">
        <v>718</v>
      </c>
      <c r="B13" s="9" t="n">
        <v>89</v>
      </c>
      <c r="C13" s="10" t="str">
        <f aca="false">IF(B13="","Sin puntaje",IF(B13&gt;=90,"Obra maestra (90+)",IF(B13&gt;=80,"Muy bueno (80-89)",IF(B13&gt;=70,"Bueno (70-79)","Regular (&lt;70)"))))</f>
        <v>Muy bueno (80-89)</v>
      </c>
      <c r="D13" s="34" t="n">
        <v>2011</v>
      </c>
      <c r="E13" s="11" t="s">
        <v>719</v>
      </c>
      <c r="F13" s="11" t="s">
        <v>699</v>
      </c>
      <c r="G13" s="11" t="s">
        <v>700</v>
      </c>
      <c r="H13" s="11" t="s">
        <v>701</v>
      </c>
      <c r="I13" s="11" t="s">
        <v>701</v>
      </c>
      <c r="J13" s="11"/>
      <c r="K13" s="12" t="str">
        <f aca="false">HYPERLINK("https://www.metacritic.com/game/kingdom-rush/","Metacritic iOS")</f>
        <v>Metacritic iOS</v>
      </c>
      <c r="L13" s="1"/>
      <c r="M13" s="1"/>
      <c r="N13" s="1"/>
      <c r="O13" s="1"/>
    </row>
    <row r="14" customFormat="false" ht="35.05" hidden="false" customHeight="false" outlineLevel="0" collapsed="false">
      <c r="A14" s="3" t="s">
        <v>720</v>
      </c>
      <c r="B14" s="4" t="n">
        <v>89</v>
      </c>
      <c r="C14" s="5" t="str">
        <f aca="false">IF(B14="","Sin puntaje",IF(B14&gt;=90,"Obra maestra (90+)",IF(B14&gt;=80,"Muy bueno (80-89)",IF(B14&gt;=70,"Bueno (70-79)","Regular (&lt;70)"))))</f>
        <v>Muy bueno (80-89)</v>
      </c>
      <c r="D14" s="33" t="n">
        <v>2014</v>
      </c>
      <c r="E14" s="6" t="s">
        <v>453</v>
      </c>
      <c r="F14" s="6" t="s">
        <v>699</v>
      </c>
      <c r="G14" s="6" t="s">
        <v>700</v>
      </c>
      <c r="H14" s="6" t="s">
        <v>701</v>
      </c>
      <c r="I14" s="6" t="s">
        <v>701</v>
      </c>
      <c r="J14" s="6" t="s">
        <v>717</v>
      </c>
      <c r="K14" s="7" t="str">
        <f aca="false">HYPERLINK("https://www.metacritic.com/game/monument-valley/","Metacritic iOS")</f>
        <v>Metacritic iOS</v>
      </c>
      <c r="L14" s="1"/>
      <c r="M14" s="1"/>
      <c r="N14" s="1"/>
      <c r="O14" s="1"/>
    </row>
    <row r="15" customFormat="false" ht="15" hidden="false" customHeight="false" outlineLevel="0" collapsed="false">
      <c r="A15" s="8" t="s">
        <v>721</v>
      </c>
      <c r="B15" s="9" t="n">
        <v>89</v>
      </c>
      <c r="C15" s="10" t="str">
        <f aca="false">IF(B15="","Sin puntaje",IF(B15&gt;=90,"Obra maestra (90+)",IF(B15&gt;=80,"Muy bueno (80-89)",IF(B15&gt;=70,"Bueno (70-79)","Regular (&lt;70)"))))</f>
        <v>Muy bueno (80-89)</v>
      </c>
      <c r="D15" s="34" t="n">
        <v>2018</v>
      </c>
      <c r="E15" s="11" t="s">
        <v>429</v>
      </c>
      <c r="F15" s="11" t="s">
        <v>699</v>
      </c>
      <c r="G15" s="11" t="s">
        <v>700</v>
      </c>
      <c r="H15" s="11" t="s">
        <v>701</v>
      </c>
      <c r="I15" s="11" t="s">
        <v>701</v>
      </c>
      <c r="J15" s="11" t="s">
        <v>706</v>
      </c>
      <c r="K15" s="12" t="str">
        <f aca="false">HYPERLINK("https://metacritic.com/game/ios/oddmar","Metacritic iOS")</f>
        <v>Metacritic iOS</v>
      </c>
      <c r="L15" s="1"/>
      <c r="M15" s="1"/>
      <c r="N15" s="1"/>
      <c r="O15" s="1"/>
    </row>
    <row r="16" customFormat="false" ht="35.05" hidden="false" customHeight="false" outlineLevel="0" collapsed="false">
      <c r="A16" s="3" t="s">
        <v>722</v>
      </c>
      <c r="B16" s="4" t="n">
        <v>88</v>
      </c>
      <c r="C16" s="5" t="str">
        <f aca="false">IF(B16="","Sin puntaje",IF(B16&gt;=90,"Obra maestra (90+)",IF(B16&gt;=80,"Muy bueno (80-89)",IF(B16&gt;=70,"Bueno (70-79)","Regular (&lt;70)"))))</f>
        <v>Muy bueno (80-89)</v>
      </c>
      <c r="D16" s="33" t="n">
        <v>2012</v>
      </c>
      <c r="E16" s="6" t="s">
        <v>657</v>
      </c>
      <c r="F16" s="6" t="s">
        <v>699</v>
      </c>
      <c r="G16" s="6" t="s">
        <v>700</v>
      </c>
      <c r="H16" s="6" t="s">
        <v>701</v>
      </c>
      <c r="I16" s="6" t="s">
        <v>701</v>
      </c>
      <c r="J16" s="6" t="s">
        <v>717</v>
      </c>
      <c r="K16" s="7" t="str">
        <f aca="false">HYPERLINK("https://www.metacritic.com/game/the-room/","Metacritic iOS")</f>
        <v>Metacritic iOS</v>
      </c>
      <c r="L16" s="1"/>
      <c r="M16" s="1"/>
      <c r="N16" s="1"/>
      <c r="O16" s="1"/>
    </row>
    <row r="17" customFormat="false" ht="35.05" hidden="false" customHeight="false" outlineLevel="0" collapsed="false">
      <c r="A17" s="8" t="s">
        <v>723</v>
      </c>
      <c r="B17" s="9" t="n">
        <v>88</v>
      </c>
      <c r="C17" s="10" t="str">
        <f aca="false">IF(B17="","Sin puntaje",IF(B17&gt;=90,"Obra maestra (90+)",IF(B17&gt;=80,"Muy bueno (80-89)",IF(B17&gt;=70,"Bueno (70-79)","Regular (&lt;70)"))))</f>
        <v>Muy bueno (80-89)</v>
      </c>
      <c r="D17" s="34" t="n">
        <v>2013</v>
      </c>
      <c r="E17" s="11" t="s">
        <v>657</v>
      </c>
      <c r="F17" s="11" t="s">
        <v>699</v>
      </c>
      <c r="G17" s="11" t="s">
        <v>700</v>
      </c>
      <c r="H17" s="11" t="s">
        <v>701</v>
      </c>
      <c r="I17" s="11" t="s">
        <v>701</v>
      </c>
      <c r="J17" s="11" t="s">
        <v>717</v>
      </c>
      <c r="K17" s="12" t="str">
        <f aca="false">HYPERLINK("https://legacy.prod.metacritic.com/game/ios/the-room-two","Metacritic iOS")</f>
        <v>Metacritic iOS</v>
      </c>
      <c r="L17" s="1"/>
      <c r="M17" s="1"/>
      <c r="N17" s="1"/>
      <c r="O17" s="1"/>
    </row>
    <row r="18" customFormat="false" ht="15" hidden="false" customHeight="false" outlineLevel="0" collapsed="false">
      <c r="A18" s="3" t="s">
        <v>724</v>
      </c>
      <c r="B18" s="4" t="n">
        <v>88</v>
      </c>
      <c r="C18" s="5" t="str">
        <f aca="false">IF(B18="","Sin puntaje",IF(B18&gt;=90,"Obra maestra (90+)",IF(B18&gt;=80,"Muy bueno (80-89)",IF(B18&gt;=70,"Bueno (70-79)","Regular (&lt;70)"))))</f>
        <v>Muy bueno (80-89)</v>
      </c>
      <c r="D18" s="33" t="n">
        <v>2014</v>
      </c>
      <c r="E18" s="6" t="s">
        <v>725</v>
      </c>
      <c r="F18" s="6" t="s">
        <v>699</v>
      </c>
      <c r="G18" s="6" t="s">
        <v>700</v>
      </c>
      <c r="H18" s="6" t="s">
        <v>701</v>
      </c>
      <c r="I18" s="6" t="s">
        <v>701</v>
      </c>
      <c r="J18" s="6"/>
      <c r="K18" s="7" t="str">
        <f aca="false">HYPERLINK("https://legacy.prod.metacritic.com/game/ios/80-days","Metacritic iOS")</f>
        <v>Metacritic iOS</v>
      </c>
      <c r="L18" s="1"/>
      <c r="M18" s="1"/>
      <c r="N18" s="1"/>
      <c r="O18" s="1"/>
    </row>
    <row r="19" customFormat="false" ht="15" hidden="false" customHeight="false" outlineLevel="0" collapsed="false">
      <c r="A19" s="8" t="s">
        <v>726</v>
      </c>
      <c r="B19" s="9" t="n">
        <v>88</v>
      </c>
      <c r="C19" s="10" t="str">
        <f aca="false">IF(B19="","Sin puntaje",IF(B19&gt;=90,"Obra maestra (90+)",IF(B19&gt;=80,"Muy bueno (80-89)",IF(B19&gt;=70,"Bueno (70-79)","Regular (&lt;70)"))))</f>
        <v>Muy bueno (80-89)</v>
      </c>
      <c r="D19" s="34" t="n">
        <v>2018</v>
      </c>
      <c r="E19" s="11" t="s">
        <v>710</v>
      </c>
      <c r="F19" s="11" t="s">
        <v>699</v>
      </c>
      <c r="G19" s="11" t="s">
        <v>700</v>
      </c>
      <c r="H19" s="11" t="s">
        <v>701</v>
      </c>
      <c r="I19" s="11" t="s">
        <v>701</v>
      </c>
      <c r="J19" s="11"/>
      <c r="K19" s="12" t="str">
        <f aca="false">HYPERLINK("https://legacy.prod.metacritic.com/game/ios/altos-odyssey","Metacritic iOS")</f>
        <v>Metacritic iOS</v>
      </c>
      <c r="L19" s="1"/>
      <c r="M19" s="1"/>
      <c r="N19" s="1"/>
      <c r="O19" s="1"/>
    </row>
    <row r="20" customFormat="false" ht="23.85" hidden="false" customHeight="false" outlineLevel="0" collapsed="false">
      <c r="A20" s="3" t="s">
        <v>727</v>
      </c>
      <c r="B20" s="4" t="n">
        <v>87</v>
      </c>
      <c r="C20" s="5" t="str">
        <f aca="false">IF(B20="","Sin puntaje",IF(B20&gt;=90,"Obra maestra (90+)",IF(B20&gt;=80,"Muy bueno (80-89)",IF(B20&gt;=70,"Bueno (70-79)","Regular (&lt;70)"))))</f>
        <v>Muy bueno (80-89)</v>
      </c>
      <c r="D20" s="33" t="n">
        <v>2011</v>
      </c>
      <c r="E20" s="6" t="s">
        <v>609</v>
      </c>
      <c r="F20" s="6" t="s">
        <v>103</v>
      </c>
      <c r="G20" s="7" t="str">
        <f aca="false">HYPERLINK("https://github.com/v-atamanenko/deadspace-vita","Adaptar el port de PS Vita (cargador de Android)")</f>
        <v>Adaptar el port de PS Vita (cargador de Android)</v>
      </c>
      <c r="H20" s="6" t="s">
        <v>695</v>
      </c>
      <c r="I20" s="6" t="s">
        <v>696</v>
      </c>
      <c r="J20" s="6" t="s">
        <v>728</v>
      </c>
      <c r="K20" s="7" t="str">
        <f aca="false">HYPERLINK("https://www.metacritic.com/game/dead-space-2011/","Metacritic iOS")</f>
        <v>Metacritic iOS</v>
      </c>
      <c r="L20" s="1"/>
      <c r="M20" s="1"/>
      <c r="N20" s="1"/>
      <c r="O20" s="1"/>
    </row>
    <row r="21" customFormat="false" ht="15" hidden="false" customHeight="false" outlineLevel="0" collapsed="false">
      <c r="A21" s="8" t="s">
        <v>729</v>
      </c>
      <c r="B21" s="9" t="n">
        <v>87</v>
      </c>
      <c r="C21" s="10" t="str">
        <f aca="false">IF(B21="","Sin puntaje",IF(B21&gt;=90,"Obra maestra (90+)",IF(B21&gt;=80,"Muy bueno (80-89)",IF(B21&gt;=70,"Bueno (70-79)","Regular (&lt;70)"))))</f>
        <v>Muy bueno (80-89)</v>
      </c>
      <c r="D21" s="34" t="n">
        <v>2016</v>
      </c>
      <c r="E21" s="11" t="s">
        <v>730</v>
      </c>
      <c r="F21" s="11" t="s">
        <v>699</v>
      </c>
      <c r="G21" s="11" t="s">
        <v>700</v>
      </c>
      <c r="H21" s="11" t="s">
        <v>701</v>
      </c>
      <c r="I21" s="11" t="s">
        <v>701</v>
      </c>
      <c r="J21" s="11" t="s">
        <v>706</v>
      </c>
      <c r="K21" s="12" t="str">
        <f aca="false">HYPERLINK("https://www.Wikipedia.org/wiki/Nerial","Metacritic iOS · dudoso")</f>
        <v>Metacritic iOS · dudoso</v>
      </c>
      <c r="L21" s="1"/>
      <c r="M21" s="1"/>
      <c r="N21" s="1"/>
      <c r="O21" s="1"/>
    </row>
    <row r="22" customFormat="false" ht="15" hidden="false" customHeight="false" outlineLevel="0" collapsed="false">
      <c r="A22" s="3" t="s">
        <v>329</v>
      </c>
      <c r="B22" s="4" t="n">
        <v>86</v>
      </c>
      <c r="C22" s="5" t="str">
        <f aca="false">IF(B22="","Sin puntaje",IF(B22&gt;=90,"Obra maestra (90+)",IF(B22&gt;=80,"Muy bueno (80-89)",IF(B22&gt;=70,"Bueno (70-79)","Regular (&lt;70)"))))</f>
        <v>Muy bueno (80-89)</v>
      </c>
      <c r="D22" s="33" t="n">
        <v>2012</v>
      </c>
      <c r="E22" s="6" t="s">
        <v>605</v>
      </c>
      <c r="F22" s="6" t="s">
        <v>103</v>
      </c>
      <c r="G22" s="7" t="str">
        <f aca="false">HYPERLINK("https://github.com/Rinnegatamante/swordigo-vita","Adaptar el port de PS Vita (cargador de Android)")</f>
        <v>Adaptar el port de PS Vita (cargador de Android)</v>
      </c>
      <c r="H22" s="6" t="s">
        <v>701</v>
      </c>
      <c r="I22" s="6" t="s">
        <v>701</v>
      </c>
      <c r="J22" s="6" t="s">
        <v>731</v>
      </c>
      <c r="K22" s="7" t="str">
        <f aca="false">HYPERLINK("https://metacritic.com/game/ios/swordigo","Metacritic iOS")</f>
        <v>Metacritic iOS</v>
      </c>
      <c r="L22" s="1"/>
      <c r="M22" s="1"/>
      <c r="N22" s="1"/>
      <c r="O22" s="1"/>
    </row>
    <row r="23" customFormat="false" ht="23.85" hidden="false" customHeight="false" outlineLevel="0" collapsed="false">
      <c r="A23" s="8" t="s">
        <v>732</v>
      </c>
      <c r="B23" s="9" t="n">
        <v>86</v>
      </c>
      <c r="C23" s="10" t="str">
        <f aca="false">IF(B23="","Sin puntaje",IF(B23&gt;=90,"Obra maestra (90+)",IF(B23&gt;=80,"Muy bueno (80-89)",IF(B23&gt;=70,"Bueno (70-79)","Regular (&lt;70)"))))</f>
        <v>Muy bueno (80-89)</v>
      </c>
      <c r="D23" s="34" t="n">
        <v>2013</v>
      </c>
      <c r="E23" s="11" t="s">
        <v>733</v>
      </c>
      <c r="F23" s="11" t="s">
        <v>699</v>
      </c>
      <c r="G23" s="11" t="s">
        <v>700</v>
      </c>
      <c r="H23" s="11" t="s">
        <v>695</v>
      </c>
      <c r="I23" s="11" t="s">
        <v>696</v>
      </c>
      <c r="J23" s="11" t="s">
        <v>734</v>
      </c>
      <c r="K23" s="12" t="str">
        <f aca="false">HYPERLINK("https://www.metacritic.com/game/rayman-fiesta-run/","Metacritic iOS")</f>
        <v>Metacritic iOS</v>
      </c>
      <c r="L23" s="1"/>
      <c r="M23" s="1"/>
      <c r="N23" s="1"/>
      <c r="O23" s="1"/>
    </row>
    <row r="24" customFormat="false" ht="15" hidden="false" customHeight="false" outlineLevel="0" collapsed="false">
      <c r="A24" s="3" t="s">
        <v>735</v>
      </c>
      <c r="B24" s="4" t="n">
        <v>86</v>
      </c>
      <c r="C24" s="5" t="str">
        <f aca="false">IF(B24="","Sin puntaje",IF(B24&gt;=90,"Obra maestra (90+)",IF(B24&gt;=80,"Muy bueno (80-89)",IF(B24&gt;=70,"Bueno (70-79)","Regular (&lt;70)"))))</f>
        <v>Muy bueno (80-89)</v>
      </c>
      <c r="D24" s="33" t="n">
        <v>2016</v>
      </c>
      <c r="E24" s="6" t="s">
        <v>736</v>
      </c>
      <c r="F24" s="6" t="s">
        <v>699</v>
      </c>
      <c r="G24" s="6" t="s">
        <v>700</v>
      </c>
      <c r="H24" s="6" t="s">
        <v>701</v>
      </c>
      <c r="I24" s="6" t="s">
        <v>701</v>
      </c>
      <c r="J24" s="6" t="s">
        <v>706</v>
      </c>
      <c r="K24" s="7" t="str">
        <f aca="false">HYPERLINK("https://legacy.prod.metacritic.com/game/ios/card-thief","Metacritic iOS")</f>
        <v>Metacritic iOS</v>
      </c>
      <c r="L24" s="1"/>
      <c r="M24" s="1"/>
      <c r="N24" s="1"/>
      <c r="O24" s="1"/>
    </row>
    <row r="25" customFormat="false" ht="35.05" hidden="false" customHeight="false" outlineLevel="0" collapsed="false">
      <c r="A25" s="8" t="s">
        <v>737</v>
      </c>
      <c r="B25" s="9" t="n">
        <v>86</v>
      </c>
      <c r="C25" s="10" t="str">
        <f aca="false">IF(B25="","Sin puntaje",IF(B25&gt;=90,"Obra maestra (90+)",IF(B25&gt;=80,"Muy bueno (80-89)",IF(B25&gt;=70,"Bueno (70-79)","Regular (&lt;70)"))))</f>
        <v>Muy bueno (80-89)</v>
      </c>
      <c r="D25" s="34" t="n">
        <v>2017</v>
      </c>
      <c r="E25" s="11" t="s">
        <v>657</v>
      </c>
      <c r="F25" s="11" t="s">
        <v>699</v>
      </c>
      <c r="G25" s="11" t="s">
        <v>700</v>
      </c>
      <c r="H25" s="11" t="s">
        <v>701</v>
      </c>
      <c r="I25" s="11" t="s">
        <v>696</v>
      </c>
      <c r="J25" s="11" t="s">
        <v>717</v>
      </c>
      <c r="K25" s="12" t="str">
        <f aca="false">HYPERLINK("https://en.wikipedia.org/wiki/Old_Man%27s_Journey","Metacritic iOS · dudoso")</f>
        <v>Metacritic iOS · dudoso</v>
      </c>
      <c r="L25" s="1"/>
      <c r="M25" s="1"/>
      <c r="N25" s="1"/>
      <c r="O25" s="1"/>
    </row>
    <row r="26" customFormat="false" ht="35.05" hidden="false" customHeight="false" outlineLevel="0" collapsed="false">
      <c r="A26" s="3" t="s">
        <v>738</v>
      </c>
      <c r="B26" s="4" t="n">
        <v>86</v>
      </c>
      <c r="C26" s="5" t="str">
        <f aca="false">IF(B26="","Sin puntaje",IF(B26&gt;=90,"Obra maestra (90+)",IF(B26&gt;=80,"Muy bueno (80-89)",IF(B26&gt;=70,"Bueno (70-79)","Regular (&lt;70)"))))</f>
        <v>Muy bueno (80-89)</v>
      </c>
      <c r="D26" s="33" t="n">
        <v>2018</v>
      </c>
      <c r="E26" s="6" t="s">
        <v>657</v>
      </c>
      <c r="F26" s="6" t="s">
        <v>699</v>
      </c>
      <c r="G26" s="6" t="s">
        <v>700</v>
      </c>
      <c r="H26" s="6" t="s">
        <v>701</v>
      </c>
      <c r="I26" s="6" t="s">
        <v>701</v>
      </c>
      <c r="J26" s="6" t="s">
        <v>717</v>
      </c>
      <c r="K26" s="7" t="str">
        <f aca="false">HYPERLINK("https://www.metacritic.com/game/the-room-4-old-sins/","Metacritic iOS")</f>
        <v>Metacritic iOS</v>
      </c>
      <c r="L26" s="1"/>
      <c r="M26" s="1"/>
      <c r="N26" s="1"/>
      <c r="O26" s="1"/>
    </row>
    <row r="27" customFormat="false" ht="15" hidden="false" customHeight="false" outlineLevel="0" collapsed="false">
      <c r="A27" s="8" t="s">
        <v>739</v>
      </c>
      <c r="B27" s="9" t="n">
        <v>86</v>
      </c>
      <c r="C27" s="10" t="str">
        <f aca="false">IF(B27="","Sin puntaje",IF(B27&gt;=90,"Obra maestra (90+)",IF(B27&gt;=80,"Muy bueno (80-89)",IF(B27&gt;=70,"Bueno (70-79)","Regular (&lt;70)"))))</f>
        <v>Muy bueno (80-89)</v>
      </c>
      <c r="D27" s="34" t="n">
        <v>2018</v>
      </c>
      <c r="E27" s="11" t="s">
        <v>449</v>
      </c>
      <c r="F27" s="11" t="s">
        <v>699</v>
      </c>
      <c r="G27" s="11" t="s">
        <v>700</v>
      </c>
      <c r="H27" s="11" t="s">
        <v>701</v>
      </c>
      <c r="I27" s="11" t="s">
        <v>701</v>
      </c>
      <c r="J27" s="11"/>
      <c r="K27" s="12" t="str">
        <f aca="false">HYPERLINK("https://legacy.prod.metacritic.com/game/ios/grimvalor","Metacritic iOS")</f>
        <v>Metacritic iOS</v>
      </c>
      <c r="L27" s="1"/>
      <c r="M27" s="1"/>
      <c r="N27" s="1"/>
      <c r="O27" s="1"/>
    </row>
    <row r="28" customFormat="false" ht="23.85" hidden="false" customHeight="false" outlineLevel="0" collapsed="false">
      <c r="A28" s="3" t="s">
        <v>290</v>
      </c>
      <c r="B28" s="4" t="n">
        <v>85</v>
      </c>
      <c r="C28" s="5" t="str">
        <f aca="false">IF(B28="","Sin puntaje",IF(B28&gt;=90,"Obra maestra (90+)",IF(B28&gt;=80,"Muy bueno (80-89)",IF(B28&gt;=70,"Bueno (70-79)","Regular (&lt;70)"))))</f>
        <v>Muy bueno (80-89)</v>
      </c>
      <c r="D28" s="33" t="n">
        <v>2010</v>
      </c>
      <c r="E28" s="6" t="s">
        <v>560</v>
      </c>
      <c r="F28" s="6" t="s">
        <v>103</v>
      </c>
      <c r="G28" s="7" t="str">
        <f aca="false">HYPERLINK("https://github.com/cualquiercosa327/spiderman_vita","Adaptar el port de PS Vita (cargador de Android)")</f>
        <v>Adaptar el port de PS Vita (cargador de Android)</v>
      </c>
      <c r="H28" s="6" t="s">
        <v>695</v>
      </c>
      <c r="I28" s="6" t="s">
        <v>696</v>
      </c>
      <c r="J28" s="6" t="s">
        <v>731</v>
      </c>
      <c r="K28" s="7" t="str">
        <f aca="false">HYPERLINK("https://www.metacritic.com/game/spider-man-total-mayhem/","Metacritic iOS")</f>
        <v>Metacritic iOS</v>
      </c>
      <c r="L28" s="1"/>
      <c r="M28" s="1"/>
      <c r="N28" s="1"/>
      <c r="O28" s="1"/>
    </row>
    <row r="29" customFormat="false" ht="23.85" hidden="false" customHeight="false" outlineLevel="0" collapsed="false">
      <c r="A29" s="8" t="s">
        <v>740</v>
      </c>
      <c r="B29" s="9" t="n">
        <v>85</v>
      </c>
      <c r="C29" s="10" t="str">
        <f aca="false">IF(B29="","Sin puntaje",IF(B29&gt;=90,"Obra maestra (90+)",IF(B29&gt;=80,"Muy bueno (80-89)",IF(B29&gt;=70,"Bueno (70-79)","Regular (&lt;70)"))))</f>
        <v>Muy bueno (80-89)</v>
      </c>
      <c r="D29" s="34" t="n">
        <v>2013</v>
      </c>
      <c r="E29" s="11" t="s">
        <v>433</v>
      </c>
      <c r="F29" s="11" t="s">
        <v>699</v>
      </c>
      <c r="G29" s="11" t="s">
        <v>700</v>
      </c>
      <c r="H29" s="11" t="s">
        <v>701</v>
      </c>
      <c r="I29" s="11" t="s">
        <v>701</v>
      </c>
      <c r="J29" s="11" t="s">
        <v>741</v>
      </c>
      <c r="K29" s="12" t="str">
        <f aca="false">HYPERLINK("https://en.wikipedia.org/wiki/Badland_(video_game)","Metacritic iOS · dudoso")</f>
        <v>Metacritic iOS · dudoso</v>
      </c>
      <c r="L29" s="1"/>
      <c r="M29" s="1"/>
      <c r="N29" s="1"/>
      <c r="O29" s="1"/>
    </row>
    <row r="30" customFormat="false" ht="15" hidden="false" customHeight="false" outlineLevel="0" collapsed="false">
      <c r="A30" s="3" t="s">
        <v>742</v>
      </c>
      <c r="B30" s="4" t="n">
        <v>85</v>
      </c>
      <c r="C30" s="5" t="str">
        <f aca="false">IF(B30="","Sin puntaje",IF(B30&gt;=90,"Obra maestra (90+)",IF(B30&gt;=80,"Muy bueno (80-89)",IF(B30&gt;=70,"Bueno (70-79)","Regular (&lt;70)"))))</f>
        <v>Muy bueno (80-89)</v>
      </c>
      <c r="D30" s="33" t="n">
        <v>2013</v>
      </c>
      <c r="E30" s="6" t="s">
        <v>743</v>
      </c>
      <c r="F30" s="6" t="s">
        <v>699</v>
      </c>
      <c r="G30" s="6" t="s">
        <v>700</v>
      </c>
      <c r="H30" s="6" t="s">
        <v>701</v>
      </c>
      <c r="I30" s="6" t="s">
        <v>701</v>
      </c>
      <c r="J30" s="6"/>
      <c r="K30" s="7" t="str">
        <f aca="false">HYPERLINK("https://www.metacritic.com/game/oceanhorn-monster-of-uncharted-seas/critic-reviews/","Metacritic iOS")</f>
        <v>Metacritic iOS</v>
      </c>
      <c r="L30" s="1"/>
      <c r="M30" s="1"/>
      <c r="N30" s="1"/>
      <c r="O30" s="1"/>
    </row>
    <row r="31" customFormat="false" ht="15" hidden="false" customHeight="false" outlineLevel="0" collapsed="false">
      <c r="A31" s="8" t="s">
        <v>744</v>
      </c>
      <c r="B31" s="9" t="n">
        <v>85</v>
      </c>
      <c r="C31" s="10" t="str">
        <f aca="false">IF(B31="","Sin puntaje",IF(B31&gt;=90,"Obra maestra (90+)",IF(B31&gt;=80,"Muy bueno (80-89)",IF(B31&gt;=70,"Bueno (70-79)","Regular (&lt;70)"))))</f>
        <v>Muy bueno (80-89)</v>
      </c>
      <c r="D31" s="34" t="n">
        <v>2013</v>
      </c>
      <c r="E31" s="11" t="s">
        <v>719</v>
      </c>
      <c r="F31" s="11" t="s">
        <v>699</v>
      </c>
      <c r="G31" s="11" t="s">
        <v>700</v>
      </c>
      <c r="H31" s="11" t="s">
        <v>701</v>
      </c>
      <c r="I31" s="11" t="s">
        <v>701</v>
      </c>
      <c r="J31" s="11"/>
      <c r="K31" s="12" t="str">
        <f aca="false">HYPERLINK("https://www.metacritic.com/game/kingdom-rush-frontiers/","Metacritic iOS")</f>
        <v>Metacritic iOS</v>
      </c>
      <c r="L31" s="1"/>
      <c r="M31" s="1"/>
      <c r="N31" s="1"/>
      <c r="O31" s="1"/>
    </row>
    <row r="32" customFormat="false" ht="15" hidden="false" customHeight="false" outlineLevel="0" collapsed="false">
      <c r="A32" s="3" t="s">
        <v>745</v>
      </c>
      <c r="B32" s="4" t="n">
        <v>85</v>
      </c>
      <c r="C32" s="5" t="str">
        <f aca="false">IF(B32="","Sin puntaje",IF(B32&gt;=90,"Obra maestra (90+)",IF(B32&gt;=80,"Muy bueno (80-89)",IF(B32&gt;=70,"Bueno (70-79)","Regular (&lt;70)"))))</f>
        <v>Muy bueno (80-89)</v>
      </c>
      <c r="D32" s="33" t="n">
        <v>2013</v>
      </c>
      <c r="E32" s="6" t="s">
        <v>746</v>
      </c>
      <c r="F32" s="6" t="s">
        <v>699</v>
      </c>
      <c r="G32" s="6" t="s">
        <v>700</v>
      </c>
      <c r="H32" s="6" t="s">
        <v>701</v>
      </c>
      <c r="I32" s="6" t="s">
        <v>696</v>
      </c>
      <c r="J32" s="6" t="s">
        <v>747</v>
      </c>
      <c r="K32" s="7" t="str">
        <f aca="false">HYPERLINK("https://en.wikipedia.org/wiki/Sorcery!_(video_game)","Metacritic iOS · dudoso")</f>
        <v>Metacritic iOS · dudoso</v>
      </c>
      <c r="L32" s="1"/>
      <c r="M32" s="1"/>
      <c r="N32" s="1"/>
      <c r="O32" s="1"/>
    </row>
    <row r="33" customFormat="false" ht="15" hidden="false" customHeight="false" outlineLevel="0" collapsed="false">
      <c r="A33" s="8" t="s">
        <v>748</v>
      </c>
      <c r="B33" s="9" t="n">
        <v>85</v>
      </c>
      <c r="C33" s="10" t="str">
        <f aca="false">IF(B33="","Sin puntaje",IF(B33&gt;=90,"Obra maestra (90+)",IF(B33&gt;=80,"Muy bueno (80-89)",IF(B33&gt;=70,"Bueno (70-79)","Regular (&lt;70)"))))</f>
        <v>Muy bueno (80-89)</v>
      </c>
      <c r="D33" s="34" t="n">
        <v>2016</v>
      </c>
      <c r="E33" s="11" t="s">
        <v>429</v>
      </c>
      <c r="F33" s="11" t="s">
        <v>699</v>
      </c>
      <c r="G33" s="11" t="s">
        <v>700</v>
      </c>
      <c r="H33" s="11" t="s">
        <v>701</v>
      </c>
      <c r="I33" s="11" t="s">
        <v>696</v>
      </c>
      <c r="J33" s="11"/>
      <c r="K33" s="12" t="str">
        <f aca="false">HYPERLINK("https://www.metacritic.com/game/chameleon-run/","Metacritic iOS")</f>
        <v>Metacritic iOS</v>
      </c>
      <c r="L33" s="1"/>
      <c r="M33" s="1"/>
      <c r="N33" s="1"/>
      <c r="O33" s="1"/>
    </row>
    <row r="34" customFormat="false" ht="23.85" hidden="false" customHeight="false" outlineLevel="0" collapsed="false">
      <c r="A34" s="3" t="s">
        <v>331</v>
      </c>
      <c r="B34" s="4" t="n">
        <v>84</v>
      </c>
      <c r="C34" s="5" t="str">
        <f aca="false">IF(B34="","Sin puntaje",IF(B34&gt;=90,"Obra maestra (90+)",IF(B34&gt;=80,"Muy bueno (80-89)",IF(B34&gt;=70,"Bueno (70-79)","Regular (&lt;70)"))))</f>
        <v>Muy bueno (80-89)</v>
      </c>
      <c r="D34" s="33" t="n">
        <v>2014</v>
      </c>
      <c r="E34" s="6" t="s">
        <v>429</v>
      </c>
      <c r="F34" s="6" t="s">
        <v>103</v>
      </c>
      <c r="G34" s="7" t="str">
        <f aca="false">HYPERLINK("https://github.com/stoicpingu/leos-fortune-vita","Adaptar el port de PS Vita (cargador de Android)")</f>
        <v>Adaptar el port de PS Vita (cargador de Android)</v>
      </c>
      <c r="H34" s="6" t="s">
        <v>701</v>
      </c>
      <c r="I34" s="6" t="s">
        <v>701</v>
      </c>
      <c r="J34" s="6" t="s">
        <v>749</v>
      </c>
      <c r="K34" s="7" t="str">
        <f aca="false">HYPERLINK("https://www.metacritic.com/game/ios/leos-fortune/details","Metacritic iOS")</f>
        <v>Metacritic iOS</v>
      </c>
      <c r="L34" s="1"/>
      <c r="M34" s="1"/>
      <c r="N34" s="1"/>
      <c r="O34" s="1"/>
    </row>
    <row r="35" customFormat="false" ht="15" hidden="false" customHeight="false" outlineLevel="0" collapsed="false">
      <c r="A35" s="8" t="s">
        <v>305</v>
      </c>
      <c r="B35" s="9" t="n">
        <v>84</v>
      </c>
      <c r="C35" s="10" t="str">
        <f aca="false">IF(B35="","Sin puntaje",IF(B35&gt;=90,"Obra maestra (90+)",IF(B35&gt;=80,"Muy bueno (80-89)",IF(B35&gt;=70,"Bueno (70-79)","Regular (&lt;70)"))))</f>
        <v>Muy bueno (80-89)</v>
      </c>
      <c r="D35" s="34" t="n">
        <v>2020</v>
      </c>
      <c r="E35" s="11" t="s">
        <v>750</v>
      </c>
      <c r="F35" s="11" t="s">
        <v>13</v>
      </c>
      <c r="G35" s="11" t="s">
        <v>751</v>
      </c>
      <c r="H35" s="11" t="s">
        <v>701</v>
      </c>
      <c r="I35" s="11" t="s">
        <v>701</v>
      </c>
      <c r="J35" s="11"/>
      <c r="K35" s="12" t="str">
        <f aca="false">HYPERLINK("https://www.dekudeals.com/items/retro-bowl","Metacritic Switch · dudoso")</f>
        <v>Metacritic Switch · dudoso</v>
      </c>
      <c r="L35" s="1"/>
      <c r="M35" s="1"/>
      <c r="N35" s="1"/>
      <c r="O35" s="1"/>
    </row>
    <row r="36" customFormat="false" ht="15" hidden="false" customHeight="false" outlineLevel="0" collapsed="false">
      <c r="A36" s="3" t="s">
        <v>752</v>
      </c>
      <c r="B36" s="4" t="n">
        <v>83</v>
      </c>
      <c r="C36" s="5" t="str">
        <f aca="false">IF(B36="","Sin puntaje",IF(B36&gt;=90,"Obra maestra (90+)",IF(B36&gt;=80,"Muy bueno (80-89)",IF(B36&gt;=70,"Bueno (70-79)","Regular (&lt;70)"))))</f>
        <v>Muy bueno (80-89)</v>
      </c>
      <c r="D36" s="33" t="n">
        <v>2015</v>
      </c>
      <c r="E36" s="6" t="s">
        <v>753</v>
      </c>
      <c r="F36" s="6" t="s">
        <v>699</v>
      </c>
      <c r="G36" s="6" t="s">
        <v>700</v>
      </c>
      <c r="H36" s="6" t="s">
        <v>701</v>
      </c>
      <c r="I36" s="6" t="s">
        <v>701</v>
      </c>
      <c r="J36" s="6" t="s">
        <v>706</v>
      </c>
      <c r="K36" s="7" t="str">
        <f aca="false">HYPERLINK("https://www.metacritic.com/game/lara-croft-go/critic-reviews/?platform=ios-iphoneipad","Metacritic iOS")</f>
        <v>Metacritic iOS</v>
      </c>
      <c r="L36" s="1"/>
      <c r="M36" s="1"/>
      <c r="N36" s="1"/>
      <c r="O36" s="1"/>
    </row>
    <row r="37" customFormat="false" ht="35.05" hidden="false" customHeight="false" outlineLevel="0" collapsed="false">
      <c r="A37" s="8" t="s">
        <v>754</v>
      </c>
      <c r="B37" s="9" t="n">
        <v>83</v>
      </c>
      <c r="C37" s="10" t="str">
        <f aca="false">IF(B37="","Sin puntaje",IF(B37&gt;=90,"Obra maestra (90+)",IF(B37&gt;=80,"Muy bueno (80-89)",IF(B37&gt;=70,"Bueno (70-79)","Regular (&lt;70)"))))</f>
        <v>Muy bueno (80-89)</v>
      </c>
      <c r="D37" s="34" t="n">
        <v>2017</v>
      </c>
      <c r="E37" s="11" t="s">
        <v>453</v>
      </c>
      <c r="F37" s="11" t="s">
        <v>699</v>
      </c>
      <c r="G37" s="11" t="s">
        <v>700</v>
      </c>
      <c r="H37" s="11" t="s">
        <v>701</v>
      </c>
      <c r="I37" s="11" t="s">
        <v>701</v>
      </c>
      <c r="J37" s="11" t="s">
        <v>717</v>
      </c>
      <c r="K37" s="12" t="str">
        <f aca="false">HYPERLINK("https://legacy.prod.metacritic.com/game/ios/monument-valley-2","Metacritic iOS")</f>
        <v>Metacritic iOS</v>
      </c>
      <c r="L37" s="1"/>
      <c r="M37" s="1"/>
      <c r="N37" s="1"/>
      <c r="O37" s="1"/>
    </row>
    <row r="38" customFormat="false" ht="35.05" hidden="false" customHeight="false" outlineLevel="0" collapsed="false">
      <c r="A38" s="3" t="s">
        <v>755</v>
      </c>
      <c r="B38" s="4" t="n">
        <v>83</v>
      </c>
      <c r="C38" s="5" t="str">
        <f aca="false">IF(B38="","Sin puntaje",IF(B38&gt;=90,"Obra maestra (90+)",IF(B38&gt;=80,"Muy bueno (80-89)",IF(B38&gt;=70,"Bueno (70-79)","Regular (&lt;70)"))))</f>
        <v>Muy bueno (80-89)</v>
      </c>
      <c r="D38" s="33" t="n">
        <v>2017</v>
      </c>
      <c r="E38" s="6" t="s">
        <v>756</v>
      </c>
      <c r="F38" s="6" t="s">
        <v>699</v>
      </c>
      <c r="G38" s="6" t="s">
        <v>700</v>
      </c>
      <c r="H38" s="6" t="s">
        <v>701</v>
      </c>
      <c r="I38" s="6" t="s">
        <v>701</v>
      </c>
      <c r="J38" s="6" t="s">
        <v>717</v>
      </c>
      <c r="K38" s="7" t="str">
        <f aca="false">HYPERLINK("https://legacy.prod.metacritic.com/game/ios/hidden-folks","Metacritic iOS")</f>
        <v>Metacritic iOS</v>
      </c>
      <c r="L38" s="1"/>
      <c r="M38" s="1"/>
      <c r="N38" s="1"/>
      <c r="O38" s="1"/>
    </row>
    <row r="39" customFormat="false" ht="35.05" hidden="false" customHeight="false" outlineLevel="0" collapsed="false">
      <c r="A39" s="8" t="s">
        <v>757</v>
      </c>
      <c r="B39" s="9" t="n">
        <v>82</v>
      </c>
      <c r="C39" s="10" t="str">
        <f aca="false">IF(B39="","Sin puntaje",IF(B39&gt;=90,"Obra maestra (90+)",IF(B39&gt;=80,"Muy bueno (80-89)",IF(B39&gt;=70,"Bueno (70-79)","Regular (&lt;70)"))))</f>
        <v>Muy bueno (80-89)</v>
      </c>
      <c r="D39" s="34" t="n">
        <v>2018</v>
      </c>
      <c r="E39" s="11" t="s">
        <v>758</v>
      </c>
      <c r="F39" s="11" t="s">
        <v>699</v>
      </c>
      <c r="G39" s="11" t="s">
        <v>700</v>
      </c>
      <c r="H39" s="11" t="s">
        <v>701</v>
      </c>
      <c r="I39" s="11" t="s">
        <v>696</v>
      </c>
      <c r="J39" s="11" t="s">
        <v>717</v>
      </c>
      <c r="K39" s="12" t="str">
        <f aca="false">HYPERLINK("https://www.metacritic.com/game/florence/","Metacritic iOS")</f>
        <v>Metacritic iOS</v>
      </c>
      <c r="L39" s="1"/>
      <c r="M39" s="1"/>
      <c r="N39" s="1"/>
      <c r="O39" s="1"/>
    </row>
    <row r="40" customFormat="false" ht="15" hidden="false" customHeight="false" outlineLevel="0" collapsed="false">
      <c r="A40" s="3" t="s">
        <v>309</v>
      </c>
      <c r="B40" s="4" t="n">
        <v>81</v>
      </c>
      <c r="C40" s="5" t="str">
        <f aca="false">IF(B40="","Sin puntaje",IF(B40&gt;=90,"Obra maestra (90+)",IF(B40&gt;=80,"Muy bueno (80-89)",IF(B40&gt;=70,"Bueno (70-79)","Regular (&lt;70)"))))</f>
        <v>Muy bueno (80-89)</v>
      </c>
      <c r="D40" s="33" t="n">
        <v>2013</v>
      </c>
      <c r="E40" s="6" t="s">
        <v>431</v>
      </c>
      <c r="F40" s="6" t="s">
        <v>13</v>
      </c>
      <c r="G40" s="6" t="s">
        <v>759</v>
      </c>
      <c r="H40" s="6" t="s">
        <v>701</v>
      </c>
      <c r="I40" s="6" t="s">
        <v>701</v>
      </c>
      <c r="J40" s="6"/>
      <c r="K40" s="7" t="str">
        <f aca="false">HYPERLINK("https://www.metacritic.com/game/playstation-vita/gunslugs","Metacritic PS Vita")</f>
        <v>Metacritic PS Vita</v>
      </c>
      <c r="L40" s="1"/>
      <c r="M40" s="1"/>
      <c r="N40" s="1"/>
      <c r="O40" s="1"/>
    </row>
    <row r="41" customFormat="false" ht="15" hidden="false" customHeight="false" outlineLevel="0" collapsed="false">
      <c r="A41" s="8" t="s">
        <v>760</v>
      </c>
      <c r="B41" s="9" t="n">
        <v>81</v>
      </c>
      <c r="C41" s="10" t="str">
        <f aca="false">IF(B41="","Sin puntaje",IF(B41&gt;=90,"Obra maestra (90+)",IF(B41&gt;=80,"Muy bueno (80-89)",IF(B41&gt;=70,"Bueno (70-79)","Regular (&lt;70)"))))</f>
        <v>Muy bueno (80-89)</v>
      </c>
      <c r="D41" s="34" t="n">
        <v>2014</v>
      </c>
      <c r="E41" s="11" t="s">
        <v>753</v>
      </c>
      <c r="F41" s="11" t="s">
        <v>699</v>
      </c>
      <c r="G41" s="11" t="s">
        <v>700</v>
      </c>
      <c r="H41" s="11" t="s">
        <v>701</v>
      </c>
      <c r="I41" s="11" t="s">
        <v>701</v>
      </c>
      <c r="J41" s="11"/>
      <c r="K41" s="12" t="str">
        <f aca="false">HYPERLINK("https://Www.Wikipedia.org/wiki/Hitman_Go","Metacritic iOS · dudoso")</f>
        <v>Metacritic iOS · dudoso</v>
      </c>
      <c r="L41" s="1"/>
      <c r="M41" s="1"/>
      <c r="N41" s="1"/>
      <c r="O41" s="1"/>
    </row>
    <row r="42" customFormat="false" ht="23.85" hidden="false" customHeight="false" outlineLevel="0" collapsed="false">
      <c r="A42" s="3" t="s">
        <v>761</v>
      </c>
      <c r="B42" s="4" t="n">
        <v>81</v>
      </c>
      <c r="C42" s="5" t="str">
        <f aca="false">IF(B42="","Sin puntaje",IF(B42&gt;=90,"Obra maestra (90+)",IF(B42&gt;=80,"Muy bueno (80-89)",IF(B42&gt;=70,"Bueno (70-79)","Regular (&lt;70)"))))</f>
        <v>Muy bueno (80-89)</v>
      </c>
      <c r="D42" s="33" t="n">
        <v>2016</v>
      </c>
      <c r="E42" s="6" t="s">
        <v>453</v>
      </c>
      <c r="F42" s="6" t="s">
        <v>699</v>
      </c>
      <c r="G42" s="6" t="s">
        <v>700</v>
      </c>
      <c r="H42" s="6" t="s">
        <v>701</v>
      </c>
      <c r="I42" s="6" t="s">
        <v>701</v>
      </c>
      <c r="J42" s="6" t="s">
        <v>715</v>
      </c>
      <c r="K42" s="7" t="str">
        <f aca="false">HYPERLINK("https://en.wikipedia.org/wiki/Mekorama","Metacritic iOS · dudoso")</f>
        <v>Metacritic iOS · dudoso</v>
      </c>
      <c r="L42" s="1"/>
      <c r="M42" s="1"/>
      <c r="N42" s="1"/>
      <c r="O42" s="1"/>
    </row>
    <row r="43" customFormat="false" ht="23.85" hidden="false" customHeight="false" outlineLevel="0" collapsed="false">
      <c r="A43" s="8" t="s">
        <v>762</v>
      </c>
      <c r="B43" s="9" t="n">
        <v>72</v>
      </c>
      <c r="C43" s="10" t="str">
        <f aca="false">IF(B43="","Sin puntaje",IF(B43&gt;=90,"Obra maestra (90+)",IF(B43&gt;=80,"Muy bueno (80-89)",IF(B43&gt;=70,"Bueno (70-79)","Regular (&lt;70)"))))</f>
        <v>Bueno (70-79)</v>
      </c>
      <c r="D43" s="34" t="n">
        <v>2016</v>
      </c>
      <c r="E43" s="11" t="s">
        <v>511</v>
      </c>
      <c r="F43" s="11" t="s">
        <v>699</v>
      </c>
      <c r="G43" s="11" t="s">
        <v>700</v>
      </c>
      <c r="H43" s="11" t="s">
        <v>701</v>
      </c>
      <c r="I43" s="11" t="s">
        <v>701</v>
      </c>
      <c r="J43" s="11" t="s">
        <v>763</v>
      </c>
      <c r="K43" s="12" t="str">
        <f aca="false">HYPERLINK("https://www.metacritic.com/game/pc/the-battle-of-polytopia/critic-reviews","Metacritic PC")</f>
        <v>Metacritic PC</v>
      </c>
      <c r="L43" s="1"/>
      <c r="M43" s="1"/>
      <c r="N43" s="1"/>
      <c r="O43" s="1"/>
    </row>
    <row r="44" customFormat="false" ht="23.85" hidden="false" customHeight="false" outlineLevel="0" collapsed="false">
      <c r="A44" s="3" t="s">
        <v>336</v>
      </c>
      <c r="B44" s="4" t="n">
        <v>68</v>
      </c>
      <c r="C44" s="5" t="str">
        <f aca="false">IF(B44="","Sin puntaje",IF(B44&gt;=90,"Obra maestra (90+)",IF(B44&gt;=80,"Muy bueno (80-89)",IF(B44&gt;=70,"Bueno (70-79)","Regular (&lt;70)"))))</f>
        <v>Regular (&lt;70)</v>
      </c>
      <c r="D44" s="33" t="n">
        <v>2012</v>
      </c>
      <c r="E44" s="6" t="s">
        <v>764</v>
      </c>
      <c r="F44" s="6" t="s">
        <v>103</v>
      </c>
      <c r="G44" s="7" t="str">
        <f aca="false">HYPERLINK("https://github.com/v-atamanenko/masseffect-vita","Adaptar el port de PS Vita (cargador de Android)")</f>
        <v>Adaptar el port de PS Vita (cargador de Android)</v>
      </c>
      <c r="H44" s="6" t="s">
        <v>695</v>
      </c>
      <c r="I44" s="6" t="s">
        <v>696</v>
      </c>
      <c r="J44" s="6" t="s">
        <v>731</v>
      </c>
      <c r="K44" s="7" t="str">
        <f aca="false">HYPERLINK("https://en.wikipedia.org/wiki/Mass_Effect_Infiltrator","Metacritic iOS · dudoso")</f>
        <v>Metacritic iOS · dudoso</v>
      </c>
      <c r="L44" s="1"/>
      <c r="M44" s="1"/>
      <c r="N44" s="1"/>
      <c r="O44" s="1"/>
    </row>
    <row r="45" customFormat="false" ht="15" hidden="false" customHeight="false" outlineLevel="0" collapsed="false">
      <c r="A45" s="8" t="s">
        <v>765</v>
      </c>
      <c r="B45" s="9"/>
      <c r="C45" s="10" t="str">
        <f aca="false">IF(B45="","Sin puntaje",IF(B45&gt;=90,"Obra maestra (90+)",IF(B45&gt;=80,"Muy bueno (80-89)",IF(B45&gt;=70,"Bueno (70-79)","Regular (&lt;70)"))))</f>
        <v>Sin puntaje</v>
      </c>
      <c r="D45" s="34" t="n">
        <v>2013</v>
      </c>
      <c r="E45" s="11" t="s">
        <v>766</v>
      </c>
      <c r="F45" s="11" t="s">
        <v>699</v>
      </c>
      <c r="G45" s="11" t="s">
        <v>700</v>
      </c>
      <c r="H45" s="11" t="s">
        <v>701</v>
      </c>
      <c r="I45" s="11" t="s">
        <v>696</v>
      </c>
      <c r="J45" s="11"/>
      <c r="K45" s="14" t="s">
        <v>57</v>
      </c>
      <c r="L45" s="1"/>
      <c r="M45" s="1"/>
      <c r="N45" s="1"/>
      <c r="O45" s="1"/>
    </row>
    <row r="46" customFormat="false" ht="23.85" hidden="false" customHeight="false" outlineLevel="0" collapsed="false">
      <c r="A46" s="3" t="s">
        <v>767</v>
      </c>
      <c r="B46" s="4"/>
      <c r="C46" s="5" t="str">
        <f aca="false">IF(B46="","Sin puntaje",IF(B46&gt;=90,"Obra maestra (90+)",IF(B46&gt;=80,"Muy bueno (80-89)",IF(B46&gt;=70,"Bueno (70-79)","Regular (&lt;70)"))))</f>
        <v>Sin puntaje</v>
      </c>
      <c r="D46" s="33" t="n">
        <v>2013</v>
      </c>
      <c r="E46" s="6" t="s">
        <v>453</v>
      </c>
      <c r="F46" s="6" t="s">
        <v>699</v>
      </c>
      <c r="G46" s="6" t="s">
        <v>700</v>
      </c>
      <c r="H46" s="6" t="s">
        <v>117</v>
      </c>
      <c r="I46" s="6" t="s">
        <v>696</v>
      </c>
      <c r="J46" s="6" t="s">
        <v>715</v>
      </c>
      <c r="K46" s="13" t="s">
        <v>57</v>
      </c>
      <c r="L46" s="1"/>
      <c r="M46" s="1"/>
      <c r="N46" s="1"/>
      <c r="O46" s="1"/>
    </row>
    <row r="47" customFormat="false" ht="15" hidden="false" customHeight="false" outlineLevel="0" collapsed="false">
      <c r="A47" s="8" t="s">
        <v>768</v>
      </c>
      <c r="B47" s="9"/>
      <c r="C47" s="10" t="str">
        <f aca="false">IF(B47="","Sin puntaje",IF(B47&gt;=90,"Obra maestra (90+)",IF(B47&gt;=80,"Muy bueno (80-89)",IF(B47&gt;=70,"Bueno (70-79)","Regular (&lt;70)"))))</f>
        <v>Sin puntaje</v>
      </c>
      <c r="D47" s="34" t="n">
        <v>2014</v>
      </c>
      <c r="E47" s="11" t="s">
        <v>719</v>
      </c>
      <c r="F47" s="11" t="s">
        <v>699</v>
      </c>
      <c r="G47" s="11" t="s">
        <v>700</v>
      </c>
      <c r="H47" s="11" t="s">
        <v>701</v>
      </c>
      <c r="I47" s="11" t="s">
        <v>701</v>
      </c>
      <c r="J47" s="11"/>
      <c r="K47" s="14" t="s">
        <v>57</v>
      </c>
      <c r="L47" s="1"/>
      <c r="M47" s="1"/>
      <c r="N47" s="1"/>
      <c r="O47" s="1"/>
    </row>
    <row r="48" customFormat="false" ht="15" hidden="false" customHeight="false" outlineLevel="0" collapsed="false">
      <c r="A48" s="3" t="s">
        <v>769</v>
      </c>
      <c r="B48" s="4"/>
      <c r="C48" s="5" t="str">
        <f aca="false">IF(B48="","Sin puntaje",IF(B48&gt;=90,"Obra maestra (90+)",IF(B48&gt;=80,"Muy bueno (80-89)",IF(B48&gt;=70,"Bueno (70-79)","Regular (&lt;70)"))))</f>
        <v>Sin puntaje</v>
      </c>
      <c r="D48" s="33" t="n">
        <v>2014</v>
      </c>
      <c r="E48" s="6" t="s">
        <v>770</v>
      </c>
      <c r="F48" s="6" t="s">
        <v>13</v>
      </c>
      <c r="G48" s="6" t="s">
        <v>771</v>
      </c>
      <c r="H48" s="6" t="s">
        <v>701</v>
      </c>
      <c r="I48" s="6" t="s">
        <v>701</v>
      </c>
      <c r="J48" s="6" t="s">
        <v>772</v>
      </c>
      <c r="K48" s="13" t="s">
        <v>57</v>
      </c>
      <c r="L48" s="1"/>
      <c r="M48" s="1"/>
      <c r="N48" s="1"/>
      <c r="O48" s="1"/>
    </row>
    <row r="49" customFormat="false" ht="15" hidden="false" customHeight="false" outlineLevel="0" collapsed="false">
      <c r="A49" s="8" t="s">
        <v>773</v>
      </c>
      <c r="B49" s="9"/>
      <c r="C49" s="10" t="str">
        <f aca="false">IF(B49="","Sin puntaje",IF(B49&gt;=90,"Obra maestra (90+)",IF(B49&gt;=80,"Muy bueno (80-89)",IF(B49&gt;=70,"Bueno (70-79)","Regular (&lt;70)"))))</f>
        <v>Sin puntaje</v>
      </c>
      <c r="D49" s="34" t="n">
        <v>2017</v>
      </c>
      <c r="E49" s="11" t="s">
        <v>774</v>
      </c>
      <c r="F49" s="11" t="s">
        <v>699</v>
      </c>
      <c r="G49" s="11" t="s">
        <v>700</v>
      </c>
      <c r="H49" s="11" t="s">
        <v>701</v>
      </c>
      <c r="I49" s="11" t="s">
        <v>701</v>
      </c>
      <c r="J49" s="11"/>
      <c r="K49" s="14" t="s">
        <v>57</v>
      </c>
      <c r="L49" s="1"/>
      <c r="M49" s="1"/>
      <c r="N49" s="1"/>
      <c r="O49" s="1"/>
    </row>
    <row r="50" customFormat="false" ht="15" hidden="false" customHeight="false" outlineLevel="0" collapsed="false">
      <c r="A50" s="3" t="s">
        <v>775</v>
      </c>
      <c r="B50" s="4"/>
      <c r="C50" s="5" t="str">
        <f aca="false">IF(B50="","Sin puntaje",IF(B50&gt;=90,"Obra maestra (90+)",IF(B50&gt;=80,"Muy bueno (80-89)",IF(B50&gt;=70,"Bueno (70-79)","Regular (&lt;70)"))))</f>
        <v>Sin puntaje</v>
      </c>
      <c r="D50" s="33" t="n">
        <v>2018</v>
      </c>
      <c r="E50" s="6" t="s">
        <v>719</v>
      </c>
      <c r="F50" s="6" t="s">
        <v>699</v>
      </c>
      <c r="G50" s="6" t="s">
        <v>700</v>
      </c>
      <c r="H50" s="6" t="s">
        <v>701</v>
      </c>
      <c r="I50" s="6" t="s">
        <v>701</v>
      </c>
      <c r="J50" s="6" t="s">
        <v>706</v>
      </c>
      <c r="K50" s="13" t="s">
        <v>57</v>
      </c>
      <c r="L50" s="1"/>
      <c r="M50" s="1"/>
      <c r="N50" s="1"/>
      <c r="O50" s="1"/>
    </row>
    <row r="51" customFormat="false" ht="15" hidden="false" customHeight="false" outlineLevel="0" collapsed="false">
      <c r="A51" s="8" t="s">
        <v>776</v>
      </c>
      <c r="B51" s="9"/>
      <c r="C51" s="10" t="str">
        <f aca="false">IF(B51="","Sin puntaje",IF(B51&gt;=90,"Obra maestra (90+)",IF(B51&gt;=80,"Muy bueno (80-89)",IF(B51&gt;=70,"Bueno (70-79)","Regular (&lt;70)"))))</f>
        <v>Sin puntaje</v>
      </c>
      <c r="D51" s="34" t="n">
        <v>2018</v>
      </c>
      <c r="E51" s="11" t="s">
        <v>777</v>
      </c>
      <c r="F51" s="11" t="s">
        <v>699</v>
      </c>
      <c r="G51" s="11" t="s">
        <v>700</v>
      </c>
      <c r="H51" s="11" t="s">
        <v>701</v>
      </c>
      <c r="I51" s="11" t="s">
        <v>701</v>
      </c>
      <c r="J51" s="11"/>
      <c r="K51" s="14" t="s">
        <v>57</v>
      </c>
      <c r="L51" s="1"/>
      <c r="M51" s="1"/>
      <c r="N51" s="1"/>
      <c r="O51" s="1"/>
    </row>
    <row r="52" customFormat="false" ht="23.85" hidden="false" customHeight="false" outlineLevel="0" collapsed="false">
      <c r="A52" s="3" t="s">
        <v>778</v>
      </c>
      <c r="B52" s="4"/>
      <c r="C52" s="5" t="str">
        <f aca="false">IF(B52="","Sin puntaje",IF(B52&gt;=90,"Obra maestra (90+)",IF(B52&gt;=80,"Muy bueno (80-89)",IF(B52&gt;=70,"Bueno (70-79)","Regular (&lt;70)"))))</f>
        <v>Sin puntaje</v>
      </c>
      <c r="D52" s="33" t="n">
        <v>2019</v>
      </c>
      <c r="E52" s="6" t="s">
        <v>779</v>
      </c>
      <c r="F52" s="6" t="s">
        <v>13</v>
      </c>
      <c r="G52" s="6" t="s">
        <v>771</v>
      </c>
      <c r="H52" s="6" t="s">
        <v>701</v>
      </c>
      <c r="I52" s="6" t="s">
        <v>701</v>
      </c>
      <c r="J52" s="6" t="s">
        <v>772</v>
      </c>
      <c r="K52" s="13" t="s">
        <v>57</v>
      </c>
      <c r="L52" s="1"/>
      <c r="M52" s="1"/>
      <c r="N52" s="1"/>
      <c r="O52" s="1"/>
    </row>
    <row r="53" customFormat="false" ht="15" hidden="false" customHeight="false" outlineLevel="0" collapsed="false">
      <c r="A53" s="1"/>
      <c r="B53" s="1"/>
      <c r="C53" s="1"/>
      <c r="D53" s="1"/>
      <c r="E53" s="1"/>
      <c r="F53" s="1"/>
      <c r="G53" s="1"/>
      <c r="H53" s="1"/>
      <c r="I53" s="1"/>
      <c r="J53" s="1"/>
      <c r="K53" s="1"/>
      <c r="L53" s="1"/>
      <c r="M53" s="1"/>
      <c r="N53" s="1"/>
      <c r="O53" s="1"/>
    </row>
    <row r="54" customFormat="false" ht="15" hidden="false" customHeight="false" outlineLevel="0" collapsed="false">
      <c r="A54" s="1"/>
      <c r="B54" s="1"/>
      <c r="C54" s="1"/>
      <c r="D54" s="1"/>
      <c r="E54" s="1"/>
      <c r="F54" s="1"/>
      <c r="G54" s="1"/>
      <c r="H54" s="1"/>
      <c r="I54" s="1"/>
      <c r="J54" s="1"/>
      <c r="K54" s="1"/>
      <c r="L54" s="1"/>
      <c r="M54" s="1"/>
      <c r="N54" s="1"/>
      <c r="O54" s="1"/>
    </row>
    <row r="55" customFormat="false" ht="15" hidden="false" customHeight="false" outlineLevel="0" collapsed="false">
      <c r="A55" s="1"/>
      <c r="B55" s="1"/>
      <c r="C55" s="1"/>
      <c r="D55" s="1"/>
      <c r="E55" s="1"/>
      <c r="F55" s="1"/>
      <c r="G55" s="1"/>
      <c r="H55" s="1"/>
      <c r="I55" s="1"/>
      <c r="J55" s="1"/>
      <c r="K55" s="1"/>
      <c r="L55" s="1"/>
      <c r="M55" s="1"/>
      <c r="N55" s="1"/>
      <c r="O55" s="1"/>
    </row>
    <row r="56" customFormat="false" ht="15" hidden="false" customHeight="false" outlineLevel="0" collapsed="false">
      <c r="A56" s="1"/>
      <c r="B56" s="1"/>
      <c r="C56" s="1"/>
      <c r="D56" s="1"/>
      <c r="E56" s="1"/>
      <c r="F56" s="1"/>
      <c r="G56" s="1"/>
      <c r="H56" s="1"/>
      <c r="I56" s="1"/>
      <c r="J56" s="1"/>
      <c r="K56" s="1"/>
      <c r="L56" s="1"/>
      <c r="M56" s="1"/>
      <c r="N56" s="1"/>
      <c r="O56" s="1"/>
    </row>
    <row r="57" customFormat="false" ht="15" hidden="false" customHeight="false" outlineLevel="0" collapsed="false">
      <c r="A57" s="1"/>
      <c r="B57" s="1"/>
      <c r="C57" s="1"/>
      <c r="D57" s="1"/>
      <c r="E57" s="1"/>
      <c r="F57" s="1"/>
      <c r="G57" s="1"/>
      <c r="H57" s="1"/>
      <c r="I57" s="1"/>
      <c r="J57" s="1"/>
      <c r="K57" s="1"/>
      <c r="L57" s="1"/>
      <c r="M57" s="1"/>
      <c r="N57" s="1"/>
      <c r="O57" s="1"/>
    </row>
    <row r="58" customFormat="false" ht="15" hidden="false" customHeight="false" outlineLevel="0" collapsed="false">
      <c r="A58" s="1"/>
      <c r="B58" s="1"/>
      <c r="C58" s="1"/>
      <c r="D58" s="1"/>
      <c r="E58" s="1"/>
      <c r="F58" s="1"/>
      <c r="G58" s="1"/>
      <c r="H58" s="1"/>
      <c r="I58" s="1"/>
      <c r="J58" s="1"/>
      <c r="K58" s="1"/>
      <c r="L58" s="1"/>
      <c r="M58" s="1"/>
      <c r="N58" s="1"/>
      <c r="O58" s="1"/>
    </row>
    <row r="59" customFormat="false" ht="15" hidden="false" customHeight="false" outlineLevel="0" collapsed="false">
      <c r="A59" s="1"/>
      <c r="B59" s="1"/>
      <c r="C59" s="1"/>
      <c r="D59" s="1"/>
      <c r="E59" s="1"/>
      <c r="F59" s="1"/>
      <c r="G59" s="1"/>
      <c r="H59" s="1"/>
      <c r="I59" s="1"/>
      <c r="J59" s="1"/>
      <c r="K59" s="1"/>
      <c r="L59" s="1"/>
      <c r="M59" s="1"/>
      <c r="N59" s="1"/>
      <c r="O59" s="1"/>
    </row>
    <row r="60" customFormat="false" ht="15" hidden="false" customHeight="false" outlineLevel="0" collapsed="false">
      <c r="A60" s="1"/>
      <c r="B60" s="1"/>
      <c r="C60" s="1"/>
      <c r="D60" s="1"/>
      <c r="E60" s="1"/>
      <c r="F60" s="1"/>
      <c r="G60" s="1"/>
      <c r="H60" s="1"/>
      <c r="I60" s="1"/>
      <c r="J60" s="1"/>
      <c r="K60" s="1"/>
      <c r="L60" s="1"/>
      <c r="M60" s="1"/>
      <c r="N60" s="1"/>
      <c r="O60" s="1"/>
    </row>
    <row r="61" customFormat="false" ht="15" hidden="false" customHeight="false" outlineLevel="0" collapsed="false">
      <c r="A61" s="1"/>
      <c r="B61" s="1"/>
      <c r="C61" s="1"/>
      <c r="D61" s="1"/>
      <c r="E61" s="1"/>
      <c r="F61" s="1"/>
      <c r="G61" s="1"/>
      <c r="H61" s="1"/>
      <c r="I61" s="1"/>
      <c r="J61" s="1"/>
      <c r="K61" s="1"/>
      <c r="L61" s="1"/>
      <c r="M61" s="1"/>
      <c r="N61" s="1"/>
      <c r="O61" s="1"/>
    </row>
    <row r="62" customFormat="false" ht="15" hidden="false" customHeight="false" outlineLevel="0" collapsed="false">
      <c r="A62" s="1"/>
      <c r="B62" s="1"/>
      <c r="C62" s="1"/>
      <c r="D62" s="1"/>
      <c r="E62" s="1"/>
      <c r="F62" s="1"/>
      <c r="G62" s="1"/>
      <c r="H62" s="1"/>
      <c r="I62" s="1"/>
      <c r="J62" s="1"/>
      <c r="K62" s="1"/>
      <c r="L62" s="1"/>
      <c r="M62" s="1"/>
      <c r="N62" s="1"/>
      <c r="O62" s="1"/>
    </row>
    <row r="63" customFormat="false" ht="15" hidden="false" customHeight="false" outlineLevel="0" collapsed="false">
      <c r="A63" s="1"/>
      <c r="B63" s="1"/>
      <c r="C63" s="1"/>
      <c r="D63" s="1"/>
      <c r="E63" s="1"/>
      <c r="F63" s="1"/>
      <c r="G63" s="1"/>
      <c r="H63" s="1"/>
      <c r="I63" s="1"/>
      <c r="J63" s="1"/>
      <c r="K63" s="1"/>
      <c r="L63" s="1"/>
      <c r="M63" s="1"/>
      <c r="N63" s="1"/>
      <c r="O63" s="1"/>
    </row>
    <row r="64" customFormat="false" ht="15" hidden="false" customHeight="false" outlineLevel="0" collapsed="false">
      <c r="A64" s="1"/>
      <c r="B64" s="1"/>
      <c r="C64" s="1"/>
      <c r="D64" s="1"/>
      <c r="E64" s="1"/>
      <c r="F64" s="1"/>
      <c r="G64" s="1"/>
      <c r="H64" s="1"/>
      <c r="I64" s="1"/>
      <c r="J64" s="1"/>
      <c r="K64" s="1"/>
      <c r="L64" s="1"/>
      <c r="M64" s="1"/>
      <c r="N64" s="1"/>
      <c r="O64" s="1"/>
    </row>
    <row r="65" customFormat="false" ht="15" hidden="false" customHeight="false" outlineLevel="0" collapsed="false">
      <c r="A65" s="1"/>
      <c r="B65" s="1"/>
      <c r="C65" s="1"/>
      <c r="D65" s="1"/>
      <c r="E65" s="1"/>
      <c r="F65" s="1"/>
      <c r="G65" s="1"/>
      <c r="H65" s="1"/>
      <c r="I65" s="1"/>
      <c r="J65" s="1"/>
      <c r="K65" s="1"/>
      <c r="L65" s="1"/>
      <c r="M65" s="1"/>
      <c r="N65" s="1"/>
      <c r="O65" s="1"/>
    </row>
    <row r="66" customFormat="false" ht="15" hidden="false" customHeight="false" outlineLevel="0" collapsed="false">
      <c r="A66" s="1"/>
      <c r="B66" s="1"/>
      <c r="C66" s="1"/>
      <c r="D66" s="1"/>
      <c r="E66" s="1"/>
      <c r="F66" s="1"/>
      <c r="G66" s="1"/>
      <c r="H66" s="1"/>
      <c r="I66" s="1"/>
      <c r="J66" s="1"/>
      <c r="K66" s="1"/>
      <c r="L66" s="1"/>
      <c r="M66" s="1"/>
      <c r="N66" s="1"/>
      <c r="O66" s="1"/>
    </row>
    <row r="67" customFormat="false" ht="15" hidden="false" customHeight="false" outlineLevel="0" collapsed="false">
      <c r="A67" s="1"/>
      <c r="B67" s="1"/>
      <c r="C67" s="1"/>
      <c r="D67" s="1"/>
      <c r="E67" s="1"/>
      <c r="F67" s="1"/>
      <c r="G67" s="1"/>
      <c r="H67" s="1"/>
      <c r="I67" s="1"/>
      <c r="J67" s="1"/>
      <c r="K67" s="1"/>
      <c r="L67" s="1"/>
      <c r="M67" s="1"/>
      <c r="N67" s="1"/>
      <c r="O67" s="1"/>
    </row>
    <row r="68" customFormat="false" ht="15" hidden="false" customHeight="false" outlineLevel="0" collapsed="false">
      <c r="A68" s="1"/>
      <c r="B68" s="1"/>
      <c r="C68" s="1"/>
      <c r="D68" s="1"/>
      <c r="E68" s="1"/>
      <c r="F68" s="1"/>
      <c r="G68" s="1"/>
      <c r="H68" s="1"/>
      <c r="I68" s="1"/>
      <c r="J68" s="1"/>
      <c r="K68" s="1"/>
      <c r="L68" s="1"/>
      <c r="M68" s="1"/>
      <c r="N68" s="1"/>
      <c r="O68" s="1"/>
    </row>
    <row r="69" customFormat="false" ht="15" hidden="false" customHeight="false" outlineLevel="0" collapsed="false">
      <c r="A69" s="1"/>
      <c r="B69" s="1"/>
      <c r="C69" s="1"/>
      <c r="D69" s="1"/>
      <c r="E69" s="1"/>
      <c r="F69" s="1"/>
      <c r="G69" s="1"/>
      <c r="H69" s="1"/>
      <c r="I69" s="1"/>
      <c r="J69" s="1"/>
      <c r="K69" s="1"/>
      <c r="L69" s="1"/>
      <c r="M69" s="1"/>
      <c r="N69" s="1"/>
      <c r="O69" s="1"/>
    </row>
    <row r="70" customFormat="false" ht="15" hidden="false" customHeight="false" outlineLevel="0" collapsed="false">
      <c r="A70" s="1"/>
      <c r="B70" s="1"/>
      <c r="C70" s="1"/>
      <c r="D70" s="1"/>
      <c r="E70" s="1"/>
      <c r="F70" s="1"/>
      <c r="G70" s="1"/>
      <c r="H70" s="1"/>
      <c r="I70" s="1"/>
      <c r="J70" s="1"/>
      <c r="K70" s="1"/>
      <c r="L70" s="1"/>
      <c r="M70" s="1"/>
      <c r="N70" s="1"/>
      <c r="O70" s="1"/>
    </row>
    <row r="71" customFormat="false" ht="15" hidden="false" customHeight="false" outlineLevel="0" collapsed="false">
      <c r="A71" s="1"/>
      <c r="B71" s="1"/>
      <c r="C71" s="1"/>
      <c r="D71" s="1"/>
      <c r="E71" s="1"/>
      <c r="F71" s="1"/>
      <c r="G71" s="1"/>
      <c r="H71" s="1"/>
      <c r="I71" s="1"/>
      <c r="J71" s="1"/>
      <c r="K71" s="1"/>
      <c r="L71" s="1"/>
      <c r="M71" s="1"/>
      <c r="N71" s="1"/>
      <c r="O71" s="1"/>
    </row>
    <row r="72" customFormat="false" ht="15" hidden="false" customHeight="false" outlineLevel="0" collapsed="false">
      <c r="A72" s="1"/>
      <c r="B72" s="1"/>
      <c r="C72" s="1"/>
      <c r="D72" s="1"/>
      <c r="E72" s="1"/>
      <c r="F72" s="1"/>
      <c r="G72" s="1"/>
      <c r="H72" s="1"/>
      <c r="I72" s="1"/>
      <c r="J72" s="1"/>
      <c r="K72" s="1"/>
      <c r="L72" s="1"/>
      <c r="M72" s="1"/>
      <c r="N72" s="1"/>
      <c r="O72" s="1"/>
    </row>
    <row r="73" customFormat="false" ht="15" hidden="false" customHeight="false" outlineLevel="0" collapsed="false">
      <c r="A73" s="1"/>
      <c r="B73" s="1"/>
      <c r="C73" s="1"/>
      <c r="D73" s="1"/>
      <c r="E73" s="1"/>
      <c r="F73" s="1"/>
      <c r="G73" s="1"/>
      <c r="H73" s="1"/>
      <c r="I73" s="1"/>
      <c r="J73" s="1"/>
      <c r="K73" s="1"/>
      <c r="L73" s="1"/>
      <c r="M73" s="1"/>
      <c r="N73" s="1"/>
      <c r="O73" s="1"/>
    </row>
    <row r="74" customFormat="false" ht="15" hidden="false" customHeight="false" outlineLevel="0" collapsed="false">
      <c r="A74" s="1"/>
      <c r="B74" s="1"/>
      <c r="C74" s="1"/>
      <c r="D74" s="1"/>
      <c r="E74" s="1"/>
      <c r="F74" s="1"/>
      <c r="G74" s="1"/>
      <c r="H74" s="1"/>
      <c r="I74" s="1"/>
      <c r="J74" s="1"/>
      <c r="K74" s="1"/>
      <c r="L74" s="1"/>
      <c r="M74" s="1"/>
      <c r="N74" s="1"/>
      <c r="O74" s="1"/>
    </row>
    <row r="75" customFormat="false" ht="15" hidden="false" customHeight="false" outlineLevel="0" collapsed="false">
      <c r="A75" s="1"/>
      <c r="B75" s="1"/>
      <c r="C75" s="1"/>
      <c r="D75" s="1"/>
      <c r="E75" s="1"/>
      <c r="F75" s="1"/>
      <c r="G75" s="1"/>
      <c r="H75" s="1"/>
      <c r="I75" s="1"/>
      <c r="J75" s="1"/>
      <c r="K75" s="1"/>
      <c r="L75" s="1"/>
      <c r="M75" s="1"/>
      <c r="N75" s="1"/>
      <c r="O75" s="1"/>
    </row>
    <row r="76" customFormat="false" ht="15" hidden="false" customHeight="false" outlineLevel="0" collapsed="false">
      <c r="A76" s="1"/>
      <c r="B76" s="1"/>
      <c r="C76" s="1"/>
      <c r="D76" s="1"/>
      <c r="E76" s="1"/>
      <c r="F76" s="1"/>
      <c r="G76" s="1"/>
      <c r="H76" s="1"/>
      <c r="I76" s="1"/>
      <c r="J76" s="1"/>
      <c r="K76" s="1"/>
      <c r="L76" s="1"/>
      <c r="M76" s="1"/>
      <c r="N76" s="1"/>
      <c r="O76" s="1"/>
    </row>
    <row r="77" customFormat="false" ht="15" hidden="false" customHeight="false" outlineLevel="0" collapsed="false">
      <c r="A77" s="1"/>
      <c r="B77" s="1"/>
      <c r="C77" s="1"/>
      <c r="D77" s="1"/>
      <c r="E77" s="1"/>
      <c r="F77" s="1"/>
      <c r="G77" s="1"/>
      <c r="H77" s="1"/>
      <c r="I77" s="1"/>
      <c r="J77" s="1"/>
      <c r="K77" s="1"/>
      <c r="L77" s="1"/>
      <c r="M77" s="1"/>
      <c r="N77" s="1"/>
      <c r="O77" s="1"/>
    </row>
  </sheetData>
  <autoFilter ref="A3:K52"/>
  <conditionalFormatting sqref="B4:B52">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52">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52">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fRule type="cellIs" priority="14" operator="equal" aboveAverage="0" equalAverage="0" bottom="0" percent="0" rank="0" text="" dxfId="22">
      <formula>"Solo en el celular"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CDC"/>
    <pageSetUpPr fitToPage="true"/>
  </sheetPr>
  <dimension ref="A1:F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75.75" hidden="false" customHeight="true" outlineLevel="0" collapsed="false">
      <c r="A1" s="1"/>
      <c r="B1" s="1"/>
      <c r="C1" s="1"/>
      <c r="D1" s="1"/>
      <c r="E1" s="1"/>
      <c r="F1" s="1"/>
    </row>
    <row r="2" customFormat="false" ht="6" hidden="false" customHeight="true" outlineLevel="0" collapsed="false">
      <c r="A2" s="1"/>
      <c r="B2" s="1"/>
      <c r="C2" s="1"/>
      <c r="D2" s="1"/>
      <c r="E2" s="1"/>
      <c r="F2" s="1"/>
    </row>
    <row r="3" customFormat="false" ht="21.75" hidden="false" customHeight="true" outlineLevel="0" collapsed="false">
      <c r="A3" s="2" t="s">
        <v>780</v>
      </c>
      <c r="B3" s="2" t="s">
        <v>781</v>
      </c>
      <c r="C3" s="1"/>
      <c r="D3" s="1"/>
      <c r="E3" s="1"/>
      <c r="F3" s="1"/>
    </row>
    <row r="4" customFormat="false" ht="15" hidden="false" customHeight="false" outlineLevel="0" collapsed="false">
      <c r="A4" s="3" t="s">
        <v>782</v>
      </c>
      <c r="B4" s="6" t="s">
        <v>783</v>
      </c>
      <c r="C4" s="1"/>
      <c r="D4" s="1"/>
      <c r="E4" s="1"/>
      <c r="F4" s="1"/>
    </row>
    <row r="5" customFormat="false" ht="15" hidden="false" customHeight="false" outlineLevel="0" collapsed="false">
      <c r="A5" s="36" t="s">
        <v>13</v>
      </c>
      <c r="B5" s="11" t="s">
        <v>784</v>
      </c>
      <c r="C5" s="1"/>
      <c r="D5" s="1"/>
      <c r="E5" s="1"/>
      <c r="F5" s="1"/>
    </row>
    <row r="6" customFormat="false" ht="15" hidden="false" customHeight="false" outlineLevel="0" collapsed="false">
      <c r="A6" s="37" t="s">
        <v>81</v>
      </c>
      <c r="B6" s="6" t="s">
        <v>785</v>
      </c>
      <c r="C6" s="1"/>
      <c r="D6" s="1"/>
      <c r="E6" s="1"/>
      <c r="F6" s="1"/>
    </row>
    <row r="7" customFormat="false" ht="15" hidden="false" customHeight="false" outlineLevel="0" collapsed="false">
      <c r="A7" s="38" t="s">
        <v>103</v>
      </c>
      <c r="B7" s="11" t="s">
        <v>786</v>
      </c>
      <c r="C7" s="1"/>
      <c r="D7" s="1"/>
      <c r="E7" s="1"/>
      <c r="F7" s="1"/>
    </row>
    <row r="8" customFormat="false" ht="23.85" hidden="false" customHeight="false" outlineLevel="0" collapsed="false">
      <c r="A8" s="39" t="s">
        <v>115</v>
      </c>
      <c r="B8" s="6" t="s">
        <v>787</v>
      </c>
      <c r="C8" s="1"/>
      <c r="D8" s="1"/>
      <c r="E8" s="1"/>
      <c r="F8" s="1"/>
    </row>
    <row r="9" customFormat="false" ht="23.85" hidden="false" customHeight="false" outlineLevel="0" collapsed="false">
      <c r="A9" s="40" t="s">
        <v>699</v>
      </c>
      <c r="B9" s="11" t="s">
        <v>788</v>
      </c>
      <c r="C9" s="1"/>
      <c r="D9" s="1"/>
      <c r="E9" s="1"/>
      <c r="F9" s="1"/>
    </row>
    <row r="10" customFormat="false" ht="23.85" hidden="false" customHeight="false" outlineLevel="0" collapsed="false">
      <c r="A10" s="3" t="s">
        <v>789</v>
      </c>
      <c r="B10" s="6" t="s">
        <v>790</v>
      </c>
      <c r="C10" s="1"/>
      <c r="D10" s="1"/>
      <c r="E10" s="1"/>
      <c r="F10" s="1"/>
    </row>
    <row r="11" customFormat="false" ht="15" hidden="false" customHeight="false" outlineLevel="0" collapsed="false">
      <c r="A11" s="8" t="s">
        <v>21</v>
      </c>
      <c r="B11" s="11" t="s">
        <v>791</v>
      </c>
      <c r="C11" s="1"/>
      <c r="D11" s="1"/>
      <c r="E11" s="1"/>
      <c r="F11" s="1"/>
    </row>
    <row r="12" customFormat="false" ht="15" hidden="false" customHeight="false" outlineLevel="0" collapsed="false">
      <c r="A12" s="3" t="s">
        <v>65</v>
      </c>
      <c r="B12" s="6" t="s">
        <v>792</v>
      </c>
      <c r="C12" s="1"/>
      <c r="D12" s="1"/>
      <c r="E12" s="1"/>
      <c r="F12" s="1"/>
    </row>
    <row r="13" customFormat="false" ht="23.85" hidden="false" customHeight="false" outlineLevel="0" collapsed="false">
      <c r="A13" s="8" t="s">
        <v>17</v>
      </c>
      <c r="B13" s="11" t="s">
        <v>793</v>
      </c>
      <c r="C13" s="1"/>
      <c r="D13" s="1"/>
      <c r="E13" s="1"/>
      <c r="F13" s="1"/>
    </row>
    <row r="14" customFormat="false" ht="15" hidden="false" customHeight="false" outlineLevel="0" collapsed="false">
      <c r="A14" s="3" t="s">
        <v>30</v>
      </c>
      <c r="B14" s="6" t="s">
        <v>794</v>
      </c>
      <c r="C14" s="1"/>
      <c r="D14" s="1"/>
      <c r="E14" s="1"/>
      <c r="F14" s="1"/>
    </row>
    <row r="15" customFormat="false" ht="23.85" hidden="false" customHeight="false" outlineLevel="0" collapsed="false">
      <c r="A15" s="8" t="s">
        <v>107</v>
      </c>
      <c r="B15" s="11" t="s">
        <v>795</v>
      </c>
      <c r="C15" s="1"/>
      <c r="D15" s="1"/>
      <c r="E15" s="1"/>
      <c r="F15" s="1"/>
    </row>
    <row r="16" customFormat="false" ht="15" hidden="false" customHeight="false" outlineLevel="0" collapsed="false">
      <c r="A16" s="3" t="s">
        <v>277</v>
      </c>
      <c r="B16" s="6" t="s">
        <v>796</v>
      </c>
      <c r="C16" s="1"/>
      <c r="D16" s="1"/>
      <c r="E16" s="1"/>
      <c r="F16" s="1"/>
    </row>
    <row r="17" customFormat="false" ht="23.85" hidden="false" customHeight="false" outlineLevel="0" collapsed="false">
      <c r="A17" s="8" t="s">
        <v>797</v>
      </c>
      <c r="B17" s="11" t="s">
        <v>798</v>
      </c>
      <c r="C17" s="1"/>
      <c r="D17" s="1"/>
      <c r="E17" s="1"/>
      <c r="F17" s="1"/>
    </row>
    <row r="18" customFormat="false" ht="23.85" hidden="false" customHeight="false" outlineLevel="0" collapsed="false">
      <c r="A18" s="3" t="s">
        <v>1</v>
      </c>
      <c r="B18" s="6" t="s">
        <v>799</v>
      </c>
      <c r="C18" s="1"/>
      <c r="D18" s="1"/>
      <c r="E18" s="1"/>
      <c r="F18" s="1"/>
    </row>
    <row r="19" customFormat="false" ht="23.85" hidden="false" customHeight="false" outlineLevel="0" collapsed="false">
      <c r="A19" s="8" t="s">
        <v>2</v>
      </c>
      <c r="B19" s="11" t="s">
        <v>800</v>
      </c>
      <c r="C19" s="1"/>
      <c r="D19" s="1"/>
      <c r="E19" s="1"/>
      <c r="F19" s="1"/>
    </row>
    <row r="20" customFormat="false" ht="46.25" hidden="false" customHeight="false" outlineLevel="0" collapsed="false">
      <c r="A20" s="3" t="s">
        <v>9</v>
      </c>
      <c r="B20" s="6" t="s">
        <v>801</v>
      </c>
      <c r="C20" s="1"/>
      <c r="D20" s="1"/>
      <c r="E20" s="1"/>
      <c r="F20" s="1"/>
    </row>
    <row r="21" customFormat="false" ht="23.85" hidden="false" customHeight="false" outlineLevel="0" collapsed="false">
      <c r="A21" s="8" t="s">
        <v>802</v>
      </c>
      <c r="B21" s="11" t="s">
        <v>803</v>
      </c>
      <c r="C21" s="1"/>
      <c r="D21" s="1"/>
      <c r="E21" s="1"/>
      <c r="F21" s="1"/>
    </row>
    <row r="22" customFormat="false" ht="23.85" hidden="false" customHeight="false" outlineLevel="0" collapsed="false">
      <c r="A22" s="3" t="s">
        <v>804</v>
      </c>
      <c r="B22" s="6" t="s">
        <v>805</v>
      </c>
      <c r="C22" s="1"/>
      <c r="D22" s="1"/>
      <c r="E22" s="1"/>
      <c r="F22" s="1"/>
    </row>
    <row r="23" customFormat="false" ht="15" hidden="false" customHeight="false" outlineLevel="0" collapsed="false">
      <c r="A23" s="8" t="s">
        <v>147</v>
      </c>
      <c r="B23" s="11" t="s">
        <v>806</v>
      </c>
      <c r="C23" s="1"/>
      <c r="D23" s="1"/>
      <c r="E23" s="1"/>
      <c r="F23" s="1"/>
    </row>
    <row r="24" customFormat="false" ht="15" hidden="false" customHeight="false" outlineLevel="0" collapsed="false">
      <c r="A24" s="3" t="s">
        <v>35</v>
      </c>
      <c r="B24" s="6" t="s">
        <v>807</v>
      </c>
      <c r="C24" s="1"/>
      <c r="D24" s="1"/>
      <c r="E24" s="1"/>
      <c r="F24" s="1"/>
    </row>
    <row r="25" customFormat="false" ht="15" hidden="false" customHeight="false" outlineLevel="0" collapsed="false">
      <c r="A25" s="8" t="s">
        <v>808</v>
      </c>
      <c r="B25" s="11" t="s">
        <v>809</v>
      </c>
      <c r="C25" s="1"/>
      <c r="D25" s="1"/>
      <c r="E25" s="1"/>
      <c r="F25" s="1"/>
    </row>
    <row r="26" customFormat="false" ht="15" hidden="false" customHeight="false" outlineLevel="0" collapsed="false">
      <c r="A26" s="3" t="s">
        <v>810</v>
      </c>
      <c r="B26" s="7" t="str">
        <f aca="false">HYPERLINK("https://github.com/PortsMaster/PortMaster-New/releases/latest/download/ports.json","Catálogo de PortMaster: https://github.com/PortsMaster/PortMaster-New/releases/latest/download/ports.json")</f>
        <v>Catálogo de PortMaster: https://github.com/PortsMaster/PortMaster-New/releases/latest/download/ports.json</v>
      </c>
      <c r="C26" s="1"/>
      <c r="D26" s="1"/>
      <c r="E26" s="1"/>
      <c r="F26" s="1"/>
    </row>
    <row r="27" customFormat="false" ht="15" hidden="false" customHeight="false" outlineLevel="0" collapsed="false">
      <c r="A27" s="8" t="s">
        <v>810</v>
      </c>
      <c r="B27" s="12" t="str">
        <f aca="false">HYPERLINK("https://github.com/OpenEnroth/OpenEnroth","OpenEnroth: https://github.com/OpenEnroth/OpenEnroth")</f>
        <v>OpenEnroth: https://github.com/OpenEnroth/OpenEnroth</v>
      </c>
      <c r="C27" s="1"/>
      <c r="D27" s="1"/>
      <c r="E27" s="1"/>
      <c r="F27" s="1"/>
    </row>
    <row r="28" customFormat="false" ht="15" hidden="false" customHeight="false" outlineLevel="0" collapsed="false">
      <c r="A28" s="3" t="s">
        <v>810</v>
      </c>
      <c r="B28" s="7" t="str">
        <f aca="false">HYPERLINK("https://github.com/afritz1/OpenTESArena","OpenTESArena: https://github.com/afritz1/OpenTESArena")</f>
        <v>OpenTESArena: https://github.com/afritz1/OpenTESArena</v>
      </c>
      <c r="C28" s="1"/>
      <c r="D28" s="1"/>
      <c r="E28" s="1"/>
      <c r="F28" s="1"/>
    </row>
    <row r="29" customFormat="false" ht="15" hidden="false" customHeight="false" outlineLevel="0" collapsed="false">
      <c r="A29" s="8" t="s">
        <v>810</v>
      </c>
      <c r="B29" s="12" t="str">
        <f aca="false">HYPERLINK("https://github.com/seedhartha/reone","reone (KOTOR): https://github.com/seedhartha/reone")</f>
        <v>reone (KOTOR): https://github.com/seedhartha/reone</v>
      </c>
      <c r="C29" s="1"/>
      <c r="D29" s="1"/>
      <c r="E29" s="1"/>
      <c r="F29" s="1"/>
    </row>
    <row r="30" customFormat="false" ht="15" hidden="false" customHeight="false" outlineLevel="0" collapsed="false">
      <c r="A30" s="3" t="s">
        <v>810</v>
      </c>
      <c r="B30" s="7" t="str">
        <f aca="false">HYPERLINK("https://github.com/phoboslab/wipeout-rewrite","wipeout-rewrite: https://github.com/phoboslab/wipeout-rewrite")</f>
        <v>wipeout-rewrite: https://github.com/phoboslab/wipeout-rewrite</v>
      </c>
      <c r="C30" s="1"/>
      <c r="D30" s="1"/>
      <c r="E30" s="1"/>
      <c r="F30" s="1"/>
    </row>
    <row r="31" customFormat="false" ht="15" hidden="false" customHeight="false" outlineLevel="0" collapsed="false">
      <c r="A31" s="8" t="s">
        <v>810</v>
      </c>
      <c r="B31" s="12" t="str">
        <f aca="false">HYPERLINK("https://github.com/minecraft-linux/mcpelauncher-manifest","mcpelauncher (Minecraft Bedrock): https://github.com/minecraft-linux/mcpelauncher-manifest")</f>
        <v>mcpelauncher (Minecraft Bedrock): https://github.com/minecraft-linux/mcpelauncher-manifest</v>
      </c>
      <c r="C31" s="1"/>
      <c r="D31" s="1"/>
      <c r="E31" s="1"/>
      <c r="F31" s="1"/>
    </row>
    <row r="32" customFormat="false" ht="15" hidden="false" customHeight="false" outlineLevel="0" collapsed="false">
      <c r="A32" s="3" t="s">
        <v>810</v>
      </c>
      <c r="B32" s="7" t="str">
        <f aca="false">HYPERLINK("https://github.com/TinyRetroWarehouse/gtasa_vita","GTA San Andreas en PS Vita: https://github.com/TinyRetroWarehouse/gtasa_vita")</f>
        <v>GTA San Andreas en PS Vita: https://github.com/TinyRetroWarehouse/gtasa_vita</v>
      </c>
      <c r="C32" s="1"/>
      <c r="D32" s="1"/>
      <c r="E32" s="1"/>
      <c r="F32" s="1"/>
    </row>
    <row r="33" customFormat="false" ht="15" hidden="false" customHeight="false" outlineLevel="0" collapsed="false">
      <c r="A33" s="8" t="s">
        <v>810</v>
      </c>
      <c r="B33" s="12" t="str">
        <f aca="false">HYPERLINK("https://github.com/v-atamanenko/masseffect-vita","Mass Effect Infiltrator en PS Vita: https://github.com/v-atamanenko/masseffect-vita")</f>
        <v>Mass Effect Infiltrator en PS Vita: https://github.com/v-atamanenko/masseffect-vita</v>
      </c>
      <c r="C33" s="1"/>
      <c r="D33" s="1"/>
      <c r="E33" s="1"/>
      <c r="F33" s="1"/>
    </row>
    <row r="34" customFormat="false" ht="15" hidden="false" customHeight="false" outlineLevel="0" collapsed="false">
      <c r="A34" s="3" t="s">
        <v>810</v>
      </c>
      <c r="B34" s="7" t="str">
        <f aca="false">HYPERLINK("https://wololo.net/2022/11/10/ps-vita-android-ports-30-games-milestone-reached/","Ports de Android a PS Vita (30 juegos, 2022): https://wololo.net/2022/11/10/ps-vita-android-ports-30-games-milestone-reached/")</f>
        <v>Ports de Android a PS Vita (30 juegos, 2022): https://wololo.net/2022/11/10/ps-vita-android-ports-30-games-milestone-reached/</v>
      </c>
      <c r="C34" s="1"/>
      <c r="D34" s="1"/>
      <c r="E34" s="1"/>
      <c r="F34" s="1"/>
    </row>
    <row r="35" customFormat="false" ht="15" hidden="false" customHeight="false" outlineLevel="0" collapsed="false">
      <c r="A35" s="8" t="s">
        <v>810</v>
      </c>
      <c r="B35" s="12" t="str">
        <f aca="false">HYPERLINK("https://www.gamebrew.org/wiki/VitaKotor","VitaKotor (KOTOR en Vita): https://www.gamebrew.org/wiki/VitaKotor")</f>
        <v>VitaKotor (KOTOR en Vita): https://www.gamebrew.org/wiki/VitaKotor</v>
      </c>
      <c r="C35" s="1"/>
      <c r="D35" s="1"/>
      <c r="E35" s="1"/>
      <c r="F35" s="1"/>
    </row>
    <row r="36" customFormat="false" ht="15" hidden="false" customHeight="false" outlineLevel="0" collapsed="false">
      <c r="A36" s="3" t="s">
        <v>810</v>
      </c>
      <c r="B36" s="7" t="str">
        <f aca="false">HYPERLINK("https://www.gamebrew.org/wiki/VitaKotor2","VitaKotor2 (KOTOR II en Vita): https://www.gamebrew.org/wiki/VitaKotor2")</f>
        <v>VitaKotor2 (KOTOR II en Vita): https://www.gamebrew.org/wiki/VitaKotor2</v>
      </c>
      <c r="C36" s="1"/>
      <c r="D36" s="1"/>
      <c r="E36" s="1"/>
      <c r="F36" s="1"/>
    </row>
    <row r="37" customFormat="false" ht="15" hidden="false" customHeight="false" outlineLevel="0" collapsed="false">
      <c r="A37" s="8" t="s">
        <v>810</v>
      </c>
      <c r="B37" s="12" t="str">
        <f aca="false">HYPERLINK("https://www.psx-place.com/threads/release-ship-of-harkinian-vita.47750/","Ship of Harkinian en Vita: https://www.psx-place.com/threads/release-ship-of-harkinian-vita.47750/")</f>
        <v>Ship of Harkinian en Vita: https://www.psx-place.com/threads/release-ship-of-harkinian-vita.47750/</v>
      </c>
      <c r="C37" s="1"/>
      <c r="D37" s="1"/>
      <c r="E37" s="1"/>
      <c r="F37" s="1"/>
    </row>
    <row r="38" customFormat="false" ht="23.85" hidden="false" customHeight="false" outlineLevel="0" collapsed="false">
      <c r="A38" s="3" t="s">
        <v>810</v>
      </c>
      <c r="B38" s="7" t="str">
        <f aca="false">HYPERLINK("https://www.timeextension.com/news/2026/04/n64-classic-zelda-majoras-mask-gets-unofficial-port-for-the-ps-vita","Majora's Mask en Vita (abril 2026): https://www.timeextension.com/news/2026/04/n64-classic-zelda-majoras-mask-gets-unofficial-port-for-the-ps-vita")</f>
        <v>Majora's Mask en Vita (abril 2026): https://www.timeextension.com/news/2026/04/n64-classic-zelda-majoras-mask-gets-unofficial-port-for-the-ps-vita</v>
      </c>
      <c r="C38" s="1"/>
      <c r="D38" s="1"/>
      <c r="E38" s="1"/>
      <c r="F38" s="1"/>
    </row>
    <row r="39" customFormat="false" ht="15" hidden="false" customHeight="false" outlineLevel="0" collapsed="false">
      <c r="A39" s="8" t="s">
        <v>810</v>
      </c>
      <c r="B39" s="12" t="str">
        <f aca="false">HYPERLINK("https://x.com/ChuckZealous/status/2050283605029470469","Mario Kart 64 (Spaghetti Kart) en Vita: https://x.com/ChuckZealous/status/2050283605029470469")</f>
        <v>Mario Kart 64 (Spaghetti Kart) en Vita: https://x.com/ChuckZealous/status/2050283605029470469</v>
      </c>
      <c r="C39" s="1"/>
      <c r="D39" s="1"/>
      <c r="E39" s="1"/>
      <c r="F39" s="1"/>
    </row>
    <row r="40" customFormat="false" ht="15" hidden="false" customHeight="false" outlineLevel="0" collapsed="false">
      <c r="A40" s="3" t="s">
        <v>810</v>
      </c>
      <c r="B40" s="7" t="str">
        <f aca="false">HYPERLINK("https://gamingonlinux.com/2026/01/ghostship-is-a-new-super-mario-64-pc-port-from-harbourmasters","Ghostship (Super Mario 64): https://gamingonlinux.com/2026/01/ghostship-is-a-new-super-mario-64-pc-port-from-harbourmasters")</f>
        <v>Ghostship (Super Mario 64): https://gamingonlinux.com/2026/01/ghostship-is-a-new-super-mario-64-pc-port-from-harbourmasters</v>
      </c>
      <c r="C40" s="1"/>
      <c r="D40" s="1"/>
      <c r="E40" s="1"/>
      <c r="F40" s="1"/>
    </row>
    <row r="41" customFormat="false" ht="15" hidden="false" customHeight="false" outlineLevel="0" collapsed="false">
      <c r="A41" s="8" t="s">
        <v>810</v>
      </c>
      <c r="B41" s="12" t="str">
        <f aca="false">HYPERLINK("https://www.gamebrew.org/wiki/Ghostship_Vita","Ghostship en Vita: https://www.gamebrew.org/wiki/Ghostship_Vita")</f>
        <v>Ghostship en Vita: https://www.gamebrew.org/wiki/Ghostship_Vita</v>
      </c>
      <c r="C41" s="1"/>
      <c r="D41" s="1"/>
      <c r="E41" s="1"/>
      <c r="F41" s="1"/>
    </row>
    <row r="42" customFormat="false" ht="15" hidden="false" customHeight="false" outlineLevel="0" collapsed="false">
      <c r="A42" s="3" t="s">
        <v>810</v>
      </c>
      <c r="B42" s="7" t="str">
        <f aca="false">HYPERLINK("https://retrododo.com/the-gamecube-version-of-resident-evil-4-is-being-ported-to-ps-vita/","Resident Evil 4 en Vita (en desarrollo): https://retrododo.com/the-gamecube-version-of-resident-evil-4-is-being-ported-to-ps-vita/")</f>
        <v>Resident Evil 4 en Vita (en desarrollo): https://retrododo.com/the-gamecube-version-of-resident-evil-4-is-being-ported-to-ps-vita/</v>
      </c>
      <c r="C42" s="1"/>
      <c r="D42" s="1"/>
      <c r="E42" s="1"/>
      <c r="F42" s="1"/>
    </row>
    <row r="43" customFormat="false" ht="15" hidden="false" customHeight="false" outlineLevel="0" collapsed="false">
      <c r="A43" s="8" t="s">
        <v>810</v>
      </c>
      <c r="B43" s="12" t="str">
        <f aca="false">HYPERLINK("https://github.com/Nevak/bgda-vita","Baldur's Gate: Dark Alliance en Vita: https://github.com/Nevak/bgda-vita")</f>
        <v>Baldur's Gate: Dark Alliance en Vita: https://github.com/Nevak/bgda-vita</v>
      </c>
      <c r="C43" s="1"/>
      <c r="D43" s="1"/>
      <c r="E43" s="1"/>
      <c r="F43" s="1"/>
    </row>
    <row r="44" customFormat="false" ht="23.85" hidden="false" customHeight="false" outlineLevel="0" collapsed="false">
      <c r="A44" s="3" t="s">
        <v>810</v>
      </c>
      <c r="B44" s="7" t="str">
        <f aca="false">HYPERLINK("https://gbatemp.net/threads/need-for-speed-hot-pursuit-android-port-nfshp-vita-v-1-0-electry.645739/","Need for Speed: Hot Pursuit en Vita: https://gbatemp.net/threads/need-for-speed-hot-pursuit-android-port-nfshp-vita-v-1-0-electry.645739/")</f>
        <v>Need for Speed: Hot Pursuit en Vita: https://gbatemp.net/threads/need-for-speed-hot-pursuit-android-port-nfshp-vita-v-1-0-electry.645739/</v>
      </c>
      <c r="C44" s="1"/>
      <c r="D44" s="1"/>
      <c r="E44" s="1"/>
      <c r="F44" s="1"/>
    </row>
    <row r="45" customFormat="false" ht="23.85" hidden="false" customHeight="false" outlineLevel="0" collapsed="false">
      <c r="A45" s="8" t="s">
        <v>810</v>
      </c>
      <c r="B45" s="12" t="str">
        <f aca="false">HYPERLINK("https://wololo.net/2025/02/18/release-ultimate-spiderman-total-mayhem-vita-port-by-rinnegatamante/","Ultimate Spider-Man: Total Mayhem en Vita: https://wololo.net/2025/02/18/release-ultimate-spiderman-total-mayhem-vita-port-by-rinnegatamante/")</f>
        <v>Ultimate Spider-Man: Total Mayhem en Vita: https://wololo.net/2025/02/18/release-ultimate-spiderman-total-mayhem-vita-port-by-rinnegatamante/</v>
      </c>
      <c r="C45" s="1"/>
      <c r="D45" s="1"/>
      <c r="E45" s="1"/>
      <c r="F45" s="1"/>
    </row>
    <row r="46" customFormat="false" ht="15" hidden="false" customHeight="false" outlineLevel="0" collapsed="false">
      <c r="A46" s="3" t="s">
        <v>810</v>
      </c>
      <c r="B46" s="7" t="str">
        <f aca="false">HYPERLINK("https://wololo.net/2024/04/12/ps-vita-release-cuphead-vita-0-35-ps-vita-port/","Cuphead Vita 0.35: https://wololo.net/2024/04/12/ps-vita-release-cuphead-vita-0-35-ps-vita-port/")</f>
        <v>Cuphead Vita 0.35: https://wololo.net/2024/04/12/ps-vita-release-cuphead-vita-0-35-ps-vita-port/</v>
      </c>
      <c r="C46" s="1"/>
      <c r="D46" s="1"/>
      <c r="E46" s="1"/>
      <c r="F46" s="1"/>
    </row>
    <row r="47" customFormat="false" ht="15" hidden="false" customHeight="false" outlineLevel="0" collapsed="false">
      <c r="A47" s="8" t="s">
        <v>810</v>
      </c>
      <c r="B47" s="12" t="str">
        <f aca="false">HYPERLINK("https://retrohandhelds.gg/best-way-to-play-ocarina-of-time/","Ship of Harkinian y 2Ship en consolas tipo R36S: https://retrohandhelds.gg/best-way-to-play-ocarina-of-time/")</f>
        <v>Ship of Harkinian y 2Ship en consolas tipo R36S: https://retrohandhelds.gg/best-way-to-play-ocarina-of-time/</v>
      </c>
      <c r="C47" s="1"/>
      <c r="D47" s="1"/>
      <c r="E47" s="1"/>
      <c r="F47" s="1"/>
    </row>
    <row r="48" customFormat="false" ht="23.85" hidden="false" customHeight="false" outlineLevel="0" collapsed="false">
      <c r="A48" s="3" t="s">
        <v>810</v>
      </c>
      <c r="B48" s="7" t="str">
        <f aca="false">HYPERLINK("https://www.gamingonlinux.com/2026/03/infinity-engine-open-source-remake-gemrb-0-9-5-gets-baldurs-gate-ii-enhanced-edition-playable/","GemRB y Baldur's Gate II EE: https://www.gamingonlinux.com/2026/03/infinity-engine-open-source-remake-gemrb-0-9-5-gets-baldurs-gate-ii-enhanced-edition-playable/")</f>
        <v>GemRB y Baldur's Gate II EE: https://www.gamingonlinux.com/2026/03/infinity-engine-open-source-remake-gemrb-0-9-5-gets-baldurs-gate-ii-enhanced-edition-playable/</v>
      </c>
      <c r="C48" s="1"/>
      <c r="D48" s="1"/>
      <c r="E48" s="1"/>
      <c r="F48" s="1"/>
    </row>
    <row r="49" customFormat="false" ht="15" hidden="false" customHeight="false" outlineLevel="0" collapsed="false">
      <c r="A49" s="8" t="s">
        <v>810</v>
      </c>
      <c r="B49" s="12" t="str">
        <f aca="false">HYPERLINK("https://github.com/stoicpingu/leos-fortune-vita","Leo's Fortune en PS Vita: https://github.com/stoicpingu/leos-fortune-vita")</f>
        <v>Leo's Fortune en PS Vita: https://github.com/stoicpingu/leos-fortune-vita</v>
      </c>
      <c r="C49" s="1"/>
      <c r="D49" s="1"/>
      <c r="E49" s="1"/>
      <c r="F49" s="1"/>
    </row>
    <row r="50" customFormat="false" ht="15" hidden="false" customHeight="false" outlineLevel="0" collapsed="false">
      <c r="A50" s="3" t="s">
        <v>810</v>
      </c>
      <c r="B50" s="7" t="str">
        <f aca="false">HYPERLINK("https://github.com/CHUTA7X/Real-Racing-2-Vita-Port-Release","Real Racing 2 en PS Vita (beta): https://github.com/CHUTA7X/Real-Racing-2-Vita-Port-Release")</f>
        <v>Real Racing 2 en PS Vita (beta): https://github.com/CHUTA7X/Real-Racing-2-Vita-Port-Release</v>
      </c>
      <c r="C50" s="1"/>
      <c r="D50" s="1"/>
      <c r="E50" s="1"/>
      <c r="F50" s="1"/>
    </row>
    <row r="51" customFormat="false" ht="15" hidden="false" customHeight="false" outlineLevel="0" collapsed="false">
      <c r="A51" s="8" t="s">
        <v>810</v>
      </c>
      <c r="B51" s="12" t="str">
        <f aca="false">HYPERLINK("https://github.com/v-atamanenko/deadspace-vita","Dead Space (celular) en PS Vita: https://github.com/v-atamanenko/deadspace-vita")</f>
        <v>Dead Space (celular) en PS Vita: https://github.com/v-atamanenko/deadspace-vita</v>
      </c>
      <c r="C51" s="1"/>
      <c r="D51" s="1"/>
      <c r="E51" s="1"/>
      <c r="F51" s="1"/>
    </row>
    <row r="52" customFormat="false" ht="15" hidden="false" customHeight="false" outlineLevel="0" collapsed="false">
      <c r="A52" s="3" t="s">
        <v>810</v>
      </c>
      <c r="B52" s="7" t="str">
        <f aca="false">HYPERLINK("https://github.com/Rinnegatamante/swordigo-vita","Swordigo en PS Vita: https://github.com/Rinnegatamante/swordigo-vita")</f>
        <v>Swordigo en PS Vita: https://github.com/Rinnegatamante/swordigo-vita</v>
      </c>
      <c r="C52" s="1"/>
      <c r="D52" s="1"/>
      <c r="E52" s="1"/>
      <c r="F52" s="1"/>
    </row>
    <row r="53" customFormat="false" ht="15" hidden="false" customHeight="false" outlineLevel="0" collapsed="false">
      <c r="A53" s="8" t="s">
        <v>810</v>
      </c>
      <c r="B53" s="12" t="str">
        <f aca="false">HYPERLINK("https://www.retrogamesonline.org/guides/best-nes-games-of-all-time","Ranking NES: https://www.retrogamesonline.org/guides/best-nes-games-of-all-time")</f>
        <v>Ranking NES: https://www.retrogamesonline.org/guides/best-nes-games-of-all-time</v>
      </c>
      <c r="C53" s="1"/>
      <c r="D53" s="1"/>
      <c r="E53" s="1"/>
      <c r="F53" s="1"/>
    </row>
    <row r="54" customFormat="false" ht="15" hidden="false" customHeight="false" outlineLevel="0" collapsed="false">
      <c r="A54" s="3" t="s">
        <v>810</v>
      </c>
      <c r="B54" s="7" t="str">
        <f aca="false">HYPERLINK("https://gamefaqs.gamespot.com/boards/916386-nes/51440644","Ranking NES (votación GameFAQs): https://gamefaqs.gamespot.com/boards/916386-nes/51440644")</f>
        <v>Ranking NES (votación GameFAQs): https://gamefaqs.gamespot.com/boards/916386-nes/51440644</v>
      </c>
      <c r="C54" s="1"/>
      <c r="D54" s="1"/>
      <c r="E54" s="1"/>
      <c r="F54" s="1"/>
    </row>
    <row r="55" customFormat="false" ht="15" hidden="false" customHeight="false" outlineLevel="0" collapsed="false">
      <c r="A55" s="8" t="s">
        <v>810</v>
      </c>
      <c r="B55" s="12" t="str">
        <f aca="false">HYPERLINK("https://www.retrogamesonline.org/guides/best-snes-games-of-all-time","Ranking SNES: https://www.retrogamesonline.org/guides/best-snes-games-of-all-time")</f>
        <v>Ranking SNES: https://www.retrogamesonline.org/guides/best-snes-games-of-all-time</v>
      </c>
      <c r="C55" s="1"/>
      <c r="D55" s="1"/>
      <c r="E55" s="1"/>
      <c r="F55" s="1"/>
    </row>
    <row r="56" customFormat="false" ht="15" hidden="false" customHeight="false" outlineLevel="0" collapsed="false">
      <c r="A56" s="3" t="s">
        <v>810</v>
      </c>
      <c r="B56" s="7" t="str">
        <f aca="false">HYPERLINK("https://www.destructoid.com/best-snes-games-of-all-time-ranked/","Ranking SNES: https://www.destructoid.com/best-snes-games-of-all-time-ranked/")</f>
        <v>Ranking SNES: https://www.destructoid.com/best-snes-games-of-all-time-ranked/</v>
      </c>
      <c r="C56" s="1"/>
      <c r="D56" s="1"/>
      <c r="E56" s="1"/>
      <c r="F56" s="1"/>
    </row>
    <row r="57" customFormat="false" ht="15" hidden="false" customHeight="false" outlineLevel="0" collapsed="false">
      <c r="A57" s="8" t="s">
        <v>810</v>
      </c>
      <c r="B57" s="12" t="str">
        <f aca="false">HYPERLINK("https://www.gameinformer.com/b/features/archive/2014/04/21/the-25-best-game-boy-games-of-all-time.aspx","Ranking Game Boy: https://www.gameinformer.com/b/features/archive/2014/04/21/the-25-best-game-boy-games-of-all-time.aspx")</f>
        <v>Ranking Game Boy: https://www.gameinformer.com/b/features/archive/2014/04/21/the-25-best-game-boy-games-of-all-time.aspx</v>
      </c>
      <c r="C57" s="1"/>
      <c r="D57" s="1"/>
      <c r="E57" s="1"/>
      <c r="F57" s="1"/>
    </row>
    <row r="58" customFormat="false" ht="15" hidden="false" customHeight="false" outlineLevel="0" collapsed="false">
      <c r="A58" s="3" t="s">
        <v>810</v>
      </c>
      <c r="B58" s="7" t="str">
        <f aca="false">HYPERLINK("https://gamesradar.com/best-game-boy-color-games","Ranking Game Boy Color: https://gamesradar.com/best-game-boy-color-games")</f>
        <v>Ranking Game Boy Color: https://gamesradar.com/best-game-boy-color-games</v>
      </c>
      <c r="C58" s="1"/>
      <c r="D58" s="1"/>
      <c r="E58" s="1"/>
      <c r="F58" s="1"/>
    </row>
    <row r="59" customFormat="false" ht="15" hidden="false" customHeight="false" outlineLevel="0" collapsed="false">
      <c r="A59" s="8" t="s">
        <v>810</v>
      </c>
      <c r="B59" s="12" t="str">
        <f aca="false">HYPERLINK("https://www.metacritic.com/browse/game/game-boy-advance/all/all-time/metascore/","Metacritic GBA: https://www.metacritic.com/browse/game/game-boy-advance/all/all-time/metascore/")</f>
        <v>Metacritic GBA: https://www.metacritic.com/browse/game/game-boy-advance/all/all-time/metascore/</v>
      </c>
      <c r="C59" s="1"/>
      <c r="D59" s="1"/>
      <c r="E59" s="1"/>
      <c r="F59" s="1"/>
    </row>
    <row r="60" customFormat="false" ht="15" hidden="false" customHeight="false" outlineLevel="0" collapsed="false">
      <c r="A60" s="3" t="s">
        <v>810</v>
      </c>
      <c r="B60" s="7" t="str">
        <f aca="false">HYPERLINK("https://www.denofgeek.com/games/best-sega-genesis-games-ever-all-time/","Ranking Mega Drive: https://www.denofgeek.com/games/best-sega-genesis-games-ever-all-time/")</f>
        <v>Ranking Mega Drive: https://www.denofgeek.com/games/best-sega-genesis-games-ever-all-time/</v>
      </c>
      <c r="C60" s="1"/>
      <c r="D60" s="1"/>
      <c r="E60" s="1"/>
      <c r="F60" s="1"/>
    </row>
    <row r="61" customFormat="false" ht="15" hidden="false" customHeight="false" outlineLevel="0" collapsed="false">
      <c r="A61" s="8" t="s">
        <v>810</v>
      </c>
      <c r="B61" s="12" t="str">
        <f aca="false">HYPERLINK("https://infinityretro.com/top-30-best-turbografx-16-games/","Ranking PC Engine: https://infinityretro.com/top-30-best-turbografx-16-games/")</f>
        <v>Ranking PC Engine: https://infinityretro.com/top-30-best-turbografx-16-games/</v>
      </c>
      <c r="C61" s="1"/>
      <c r="D61" s="1"/>
      <c r="E61" s="1"/>
      <c r="F61" s="1"/>
    </row>
    <row r="62" customFormat="false" ht="15" hidden="false" customHeight="false" outlineLevel="0" collapsed="false">
      <c r="A62" s="3" t="s">
        <v>810</v>
      </c>
      <c r="B62" s="7" t="str">
        <f aca="false">HYPERLINK("https://www.timeextension.com/guides/best-neo-geo-games-of-all-time","Ranking Neo Geo: https://www.timeextension.com/guides/best-neo-geo-games-of-all-time")</f>
        <v>Ranking Neo Geo: https://www.timeextension.com/guides/best-neo-geo-games-of-all-time</v>
      </c>
      <c r="C62" s="1"/>
      <c r="D62" s="1"/>
      <c r="E62" s="1"/>
      <c r="F62" s="1"/>
    </row>
    <row r="63" customFormat="false" ht="15" hidden="false" customHeight="false" outlineLevel="0" collapsed="false">
      <c r="A63" s="8" t="s">
        <v>810</v>
      </c>
      <c r="B63" s="12" t="str">
        <f aca="false">HYPERLINK("https://gamesradar.com/best-neo-geo-games","Ranking Neo Geo: https://gamesradar.com/best-neo-geo-games")</f>
        <v>Ranking Neo Geo: https://gamesradar.com/best-neo-geo-games</v>
      </c>
      <c r="C63" s="1"/>
      <c r="D63" s="1"/>
      <c r="E63" s="1"/>
      <c r="F63" s="1"/>
    </row>
    <row r="64" customFormat="false" ht="15" hidden="false" customHeight="false" outlineLevel="0" collapsed="false">
      <c r="A64" s="3" t="s">
        <v>810</v>
      </c>
      <c r="B64" s="7" t="str">
        <f aca="false">HYPERLINK("https://www.metacritic.com/browse/game/ps1/","Metacritic PS1: https://www.metacritic.com/browse/game/ps1/")</f>
        <v>Metacritic PS1: https://www.metacritic.com/browse/game/ps1/</v>
      </c>
      <c r="C64" s="1"/>
      <c r="D64" s="1"/>
      <c r="E64" s="1"/>
      <c r="F64" s="1"/>
    </row>
    <row r="65" customFormat="false" ht="15" hidden="false" customHeight="false" outlineLevel="0" collapsed="false">
      <c r="A65" s="8" t="s">
        <v>810</v>
      </c>
      <c r="B65" s="12" t="str">
        <f aca="false">HYPERLINK("https://www.keengamer.com/articles/features/6-of-the-best-n64-games-based-on-aggregated-metacritic-ratings/","Metacritic N64: https://www.keengamer.com/articles/features/6-of-the-best-n64-games-based-on-aggregated-metacritic-ratings/")</f>
        <v>Metacritic N64: https://www.keengamer.com/articles/features/6-of-the-best-n64-games-based-on-aggregated-metacritic-ratings/</v>
      </c>
      <c r="C65" s="1"/>
      <c r="D65" s="1"/>
      <c r="E65" s="1"/>
      <c r="F65" s="1"/>
    </row>
    <row r="66" customFormat="false" ht="15" hidden="false" customHeight="false" outlineLevel="0" collapsed="false">
      <c r="A66" s="3" t="s">
        <v>810</v>
      </c>
      <c r="B66" s="7" t="str">
        <f aca="false">HYPERLINK("https://www.metacritic.com/browse/game/nintendo-ds/all/all-time/metascore/","Metacritic DS: https://www.metacritic.com/browse/game/nintendo-ds/all/all-time/metascore/")</f>
        <v>Metacritic DS: https://www.metacritic.com/browse/game/nintendo-ds/all/all-time/metascore/</v>
      </c>
      <c r="C66" s="1"/>
      <c r="D66" s="1"/>
      <c r="E66" s="1"/>
      <c r="F66" s="1"/>
    </row>
    <row r="67" customFormat="false" ht="15" hidden="false" customHeight="false" outlineLevel="0" collapsed="false">
      <c r="A67" s="8" t="s">
        <v>810</v>
      </c>
      <c r="B67" s="12" t="str">
        <f aca="false">HYPERLINK("https://www.cbr.com/greatest-playstation-portable-games-ranked-by-metacritic/","Metacritic PSP: https://www.cbr.com/greatest-playstation-portable-games-ranked-by-metacritic/")</f>
        <v>Metacritic PSP: https://www.cbr.com/greatest-playstation-portable-games-ranked-by-metacritic/</v>
      </c>
      <c r="C67" s="1"/>
      <c r="D67" s="1"/>
      <c r="E67" s="1"/>
      <c r="F67" s="1"/>
    </row>
    <row r="68" customFormat="false" ht="23.85" hidden="false" customHeight="false" outlineLevel="0" collapsed="false">
      <c r="A68" s="3" t="s">
        <v>810</v>
      </c>
      <c r="B68" s="7" t="str">
        <f aca="false">HYPERLINK("https://www.reddit.com/r/R36S/comments/1bqk1i2/how_to_run_all_psp_games_real_smooth/","PSP en la R36S (PPSSPP standalone, reportes): https://www.reddit.com/r/R36S/comments/1bqk1i2/how_to_run_all_psp_games_real_smooth/")</f>
        <v>PSP en la R36S (PPSSPP standalone, reportes): https://www.reddit.com/r/R36S/comments/1bqk1i2/how_to_run_all_psp_games_real_smooth/</v>
      </c>
      <c r="C68" s="1"/>
      <c r="D68" s="1"/>
      <c r="E68" s="1"/>
      <c r="F68" s="1"/>
    </row>
    <row r="69" customFormat="false" ht="15" hidden="false" customHeight="false" outlineLevel="0" collapsed="false">
      <c r="A69" s="8" t="s">
        <v>810</v>
      </c>
      <c r="B69" s="12" t="str">
        <f aca="false">HYPERLINK("https://retrohandhelds.gg/how-to-play-goldeneye-007-natively-on-your-r36s/","GoldenEye 007 nativo en la R36S: https://retrohandhelds.gg/how-to-play-goldeneye-007-natively-on-your-r36s/")</f>
        <v>GoldenEye 007 nativo en la R36S: https://retrohandhelds.gg/how-to-play-goldeneye-007-natively-on-your-r36s/</v>
      </c>
      <c r="C69" s="1"/>
      <c r="D69" s="1"/>
      <c r="E69" s="1"/>
      <c r="F69" s="1"/>
    </row>
    <row r="70" customFormat="false" ht="15" hidden="false" customHeight="false" outlineLevel="0" collapsed="false">
      <c r="A70" s="1"/>
      <c r="B70" s="1"/>
      <c r="C70" s="1"/>
      <c r="D70" s="1"/>
      <c r="E70" s="1"/>
      <c r="F70" s="1"/>
    </row>
    <row r="71" customFormat="false" ht="15" hidden="false" customHeight="false" outlineLevel="0" collapsed="false">
      <c r="A71" s="1"/>
      <c r="B71" s="1"/>
      <c r="C71" s="1"/>
      <c r="D71" s="1"/>
      <c r="E71" s="1"/>
      <c r="F71" s="1"/>
    </row>
    <row r="72" customFormat="false" ht="15" hidden="false" customHeight="false" outlineLevel="0" collapsed="false">
      <c r="A72" s="1"/>
      <c r="B72" s="1"/>
      <c r="C72" s="1"/>
      <c r="D72" s="1"/>
      <c r="E72" s="1"/>
      <c r="F72" s="1"/>
    </row>
    <row r="73" customFormat="false" ht="15" hidden="false" customHeight="false" outlineLevel="0" collapsed="false">
      <c r="A73" s="1"/>
      <c r="B73" s="1"/>
      <c r="C73" s="1"/>
      <c r="D73" s="1"/>
      <c r="E73" s="1"/>
      <c r="F73" s="1"/>
    </row>
    <row r="74" customFormat="false" ht="15" hidden="false" customHeight="false" outlineLevel="0" collapsed="false">
      <c r="A74" s="1"/>
      <c r="B74" s="1"/>
      <c r="C74" s="1"/>
      <c r="D74" s="1"/>
      <c r="E74" s="1"/>
      <c r="F74" s="1"/>
    </row>
    <row r="75" customFormat="false" ht="15" hidden="false" customHeight="false" outlineLevel="0" collapsed="false">
      <c r="A75" s="1"/>
      <c r="B75" s="1"/>
      <c r="C75" s="1"/>
      <c r="D75" s="1"/>
      <c r="E75" s="1"/>
      <c r="F75" s="1"/>
    </row>
    <row r="76" customFormat="false" ht="15" hidden="false" customHeight="false" outlineLevel="0" collapsed="false">
      <c r="A76" s="1"/>
      <c r="B76" s="1"/>
      <c r="C76" s="1"/>
      <c r="D76" s="1"/>
      <c r="E76" s="1"/>
      <c r="F76" s="1"/>
    </row>
    <row r="77" customFormat="false" ht="15" hidden="false" customHeight="false" outlineLevel="0" collapsed="false">
      <c r="A77" s="1"/>
      <c r="B77" s="1"/>
      <c r="C77" s="1"/>
      <c r="D77" s="1"/>
      <c r="E77" s="1"/>
      <c r="F77" s="1"/>
    </row>
    <row r="78" customFormat="false" ht="15" hidden="false" customHeight="false" outlineLevel="0" collapsed="false">
      <c r="A78" s="1"/>
      <c r="B78" s="1"/>
      <c r="C78" s="1"/>
      <c r="D78" s="1"/>
      <c r="E78" s="1"/>
      <c r="F78" s="1"/>
    </row>
    <row r="79" customFormat="false" ht="15" hidden="false" customHeight="false" outlineLevel="0" collapsed="false">
      <c r="A79" s="1"/>
      <c r="B79" s="1"/>
      <c r="C79" s="1"/>
      <c r="D79" s="1"/>
      <c r="E79" s="1"/>
      <c r="F79" s="1"/>
    </row>
    <row r="80" customFormat="false" ht="15" hidden="false" customHeight="false" outlineLevel="0" collapsed="false">
      <c r="A80" s="1"/>
      <c r="B80" s="1"/>
      <c r="C80" s="1"/>
      <c r="D80" s="1"/>
      <c r="E80" s="1"/>
      <c r="F80" s="1"/>
    </row>
    <row r="81" customFormat="false" ht="15" hidden="false" customHeight="false" outlineLevel="0" collapsed="false">
      <c r="A81" s="1"/>
      <c r="B81" s="1"/>
      <c r="C81" s="1"/>
      <c r="D81" s="1"/>
      <c r="E81" s="1"/>
      <c r="F81" s="1"/>
    </row>
    <row r="82" customFormat="false" ht="15" hidden="false" customHeight="false" outlineLevel="0" collapsed="false">
      <c r="A82" s="1"/>
      <c r="B82" s="1"/>
      <c r="C82" s="1"/>
      <c r="D82" s="1"/>
      <c r="E82" s="1"/>
      <c r="F82" s="1"/>
    </row>
    <row r="83" customFormat="false" ht="15" hidden="false" customHeight="false" outlineLevel="0" collapsed="false">
      <c r="A83" s="1"/>
      <c r="B83" s="1"/>
      <c r="C83" s="1"/>
      <c r="D83" s="1"/>
      <c r="E83" s="1"/>
      <c r="F83" s="1"/>
    </row>
    <row r="84" customFormat="false" ht="15" hidden="false" customHeight="false" outlineLevel="0" collapsed="false">
      <c r="A84" s="1"/>
      <c r="B84" s="1"/>
      <c r="C84" s="1"/>
      <c r="D84" s="1"/>
      <c r="E84" s="1"/>
      <c r="F84" s="1"/>
    </row>
    <row r="85" customFormat="false" ht="15" hidden="false" customHeight="false" outlineLevel="0" collapsed="false">
      <c r="A85" s="1"/>
      <c r="B85" s="1"/>
      <c r="C85" s="1"/>
      <c r="D85" s="1"/>
      <c r="E85" s="1"/>
      <c r="F85" s="1"/>
    </row>
    <row r="86" customFormat="false" ht="15" hidden="false" customHeight="false" outlineLevel="0" collapsed="false">
      <c r="A86" s="1"/>
      <c r="B86" s="1"/>
      <c r="C86" s="1"/>
      <c r="D86" s="1"/>
      <c r="E86" s="1"/>
      <c r="F86" s="1"/>
    </row>
    <row r="87" customFormat="false" ht="15" hidden="false" customHeight="false" outlineLevel="0" collapsed="false">
      <c r="A87" s="1"/>
      <c r="B87" s="1"/>
      <c r="C87" s="1"/>
      <c r="D87" s="1"/>
      <c r="E87" s="1"/>
      <c r="F87" s="1"/>
    </row>
    <row r="88" customFormat="false" ht="15" hidden="false" customHeight="false" outlineLevel="0" collapsed="false">
      <c r="A88" s="1"/>
      <c r="B88" s="1"/>
      <c r="C88" s="1"/>
      <c r="D88" s="1"/>
      <c r="E88" s="1"/>
      <c r="F88" s="1"/>
    </row>
    <row r="89" customFormat="false" ht="15" hidden="false" customHeight="false" outlineLevel="0" collapsed="false">
      <c r="A89" s="1"/>
      <c r="B89" s="1"/>
      <c r="C89" s="1"/>
      <c r="D89" s="1"/>
      <c r="E89" s="1"/>
      <c r="F89" s="1"/>
    </row>
    <row r="90" customFormat="false" ht="15" hidden="false" customHeight="false" outlineLevel="0" collapsed="false">
      <c r="A90" s="1"/>
      <c r="B90" s="1"/>
      <c r="C90" s="1"/>
      <c r="D90" s="1"/>
      <c r="E90" s="1"/>
      <c r="F90" s="1"/>
    </row>
    <row r="91" customFormat="false" ht="15" hidden="false" customHeight="false" outlineLevel="0" collapsed="false">
      <c r="A91" s="1"/>
      <c r="B91" s="1"/>
      <c r="C91" s="1"/>
      <c r="D91" s="1"/>
      <c r="E91" s="1"/>
      <c r="F91" s="1"/>
    </row>
    <row r="92" customFormat="false" ht="15" hidden="false" customHeight="false" outlineLevel="0" collapsed="false">
      <c r="A92" s="1"/>
      <c r="B92" s="1"/>
      <c r="C92" s="1"/>
      <c r="D92" s="1"/>
      <c r="E92" s="1"/>
      <c r="F92" s="1"/>
    </row>
    <row r="93" customFormat="false" ht="15" hidden="false" customHeight="false" outlineLevel="0" collapsed="false">
      <c r="A93" s="1"/>
      <c r="B93" s="1"/>
      <c r="C93" s="1"/>
      <c r="D93" s="1"/>
      <c r="E93" s="1"/>
      <c r="F93" s="1"/>
    </row>
    <row r="94" customFormat="false" ht="15" hidden="false" customHeight="false" outlineLevel="0" collapsed="false">
      <c r="A94" s="1"/>
      <c r="B94" s="1"/>
      <c r="C94" s="1"/>
      <c r="D94" s="1"/>
      <c r="E94" s="1"/>
      <c r="F94" s="1"/>
    </row>
  </sheetData>
  <autoFilter ref="A3:B6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2026-10-20T17:53:42Z</dcterms:created>
  <dc:creator>openpyxl</dc:creator>
  <dc:description/>
  <dc:language>en-US</dc:language>
  <cp:lastModifiedBy/>
  <dcterms:modified xsi:type="dcterms:W3CDTF">2026-10-20T17:53:42Z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